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downloads\"/>
    </mc:Choice>
  </mc:AlternateContent>
  <bookViews>
    <workbookView xWindow="0" yWindow="0" windowWidth="20490" windowHeight="7650" activeTab="1"/>
  </bookViews>
  <sheets>
    <sheet name="KPIs" sheetId="3" r:id="rId1"/>
    <sheet name="Target - Product Ads" sheetId="6" r:id="rId2"/>
    <sheet name="Target - Industry Ads" sheetId="7" r:id="rId3"/>
    <sheet name="Target - Dealers ad" sheetId="8" r:id="rId4"/>
    <sheet name="Podcast views" sheetId="9" r:id="rId5"/>
    <sheet name="Follower Growth Plan" sheetId="10" r:id="rId6"/>
    <sheet name="Internal Notes" sheetId="11" r:id="rId7"/>
  </sheets>
  <calcPr calcId="162913"/>
</workbook>
</file>

<file path=xl/calcChain.xml><?xml version="1.0" encoding="utf-8"?>
<calcChain xmlns="http://schemas.openxmlformats.org/spreadsheetml/2006/main">
  <c r="D6" i="10" l="1"/>
  <c r="C6" i="10"/>
  <c r="B6" i="10"/>
  <c r="L172" i="3"/>
  <c r="K172" i="3"/>
  <c r="J172" i="3"/>
  <c r="I172" i="3"/>
  <c r="H172" i="3"/>
  <c r="G172" i="3"/>
  <c r="F172" i="3"/>
  <c r="E172" i="3"/>
  <c r="D172" i="3"/>
  <c r="C172" i="3"/>
  <c r="M144" i="3"/>
  <c r="L144" i="3"/>
  <c r="K144" i="3"/>
  <c r="J144" i="3"/>
  <c r="I144" i="3"/>
  <c r="H144" i="3"/>
  <c r="G144" i="3"/>
  <c r="F144" i="3"/>
</calcChain>
</file>

<file path=xl/comments1.xml><?xml version="1.0" encoding="utf-8"?>
<comments xmlns="http://schemas.openxmlformats.org/spreadsheetml/2006/main">
  <authors>
    <author/>
  </authors>
  <commentList>
    <comment ref="G66" authorId="0" shapeId="0">
      <text>
        <r>
          <rPr>
            <sz val="10"/>
            <color theme="1"/>
            <rFont val="Roboto"/>
          </rPr>
          <t xml:space="preserve">Whatsapp leads
</t>
        </r>
      </text>
    </comment>
    <comment ref="G74" authorId="0" shapeId="0">
      <text>
        <r>
          <rPr>
            <sz val="10"/>
            <color theme="1"/>
            <rFont val="Roboto"/>
          </rPr>
          <t xml:space="preserve">Whatsapp leads
</t>
        </r>
      </text>
    </comment>
  </commentList>
</comments>
</file>

<file path=xl/sharedStrings.xml><?xml version="1.0" encoding="utf-8"?>
<sst xmlns="http://schemas.openxmlformats.org/spreadsheetml/2006/main" count="870" uniqueCount="583">
  <si>
    <t>Platform</t>
  </si>
  <si>
    <t>LinkedIn</t>
  </si>
  <si>
    <t>Instant Form - Partnership</t>
  </si>
  <si>
    <t>Partnership</t>
  </si>
  <si>
    <t>Instant Form - Leads</t>
  </si>
  <si>
    <t>Leads</t>
  </si>
  <si>
    <t>Google</t>
  </si>
  <si>
    <t>Youtube</t>
  </si>
  <si>
    <t>Video ads - Non skippable</t>
  </si>
  <si>
    <t>Meta</t>
  </si>
  <si>
    <t>Boosting</t>
  </si>
  <si>
    <t>Oct</t>
  </si>
  <si>
    <t>Instagram profile visits</t>
  </si>
  <si>
    <t>Instagram</t>
  </si>
  <si>
    <t>Products</t>
  </si>
  <si>
    <t>Nitin® Orion Panel</t>
  </si>
  <si>
    <t>Lattice sheet</t>
  </si>
  <si>
    <t>Nitin® Invisible Grille</t>
  </si>
  <si>
    <t>CPL</t>
  </si>
  <si>
    <t>Total</t>
  </si>
  <si>
    <t>Dealers</t>
  </si>
  <si>
    <t>Ad-Type</t>
  </si>
  <si>
    <t>KPI</t>
  </si>
  <si>
    <t>Allocated Budget</t>
  </si>
  <si>
    <t>Amount spent</t>
  </si>
  <si>
    <t>Reach</t>
  </si>
  <si>
    <t>Clicks</t>
  </si>
  <si>
    <t>CPC</t>
  </si>
  <si>
    <r>
      <rPr>
        <sz val="10"/>
        <color theme="1"/>
        <rFont val="Roboto"/>
      </rPr>
      <t>Retargetting Instant Form</t>
    </r>
  </si>
  <si>
    <t>Search Intent - Leads</t>
  </si>
  <si>
    <t>[Website form submissions &amp; calls]</t>
  </si>
  <si>
    <t>Phone</t>
  </si>
  <si>
    <t>Search Intent - Partnership</t>
  </si>
  <si>
    <t>Phone calls</t>
  </si>
  <si>
    <t>PMax with Retargeting</t>
  </si>
  <si>
    <t>[Website form submissions, Calls &amp; Map directions]</t>
  </si>
  <si>
    <t>Views</t>
  </si>
  <si>
    <t>CPV</t>
  </si>
  <si>
    <t>Video views - Youtube</t>
  </si>
  <si>
    <t>Instant Form / Whatsapp - Leads</t>
  </si>
  <si>
    <t>Whatsapp leads</t>
  </si>
  <si>
    <t>3,052</t>
  </si>
  <si>
    <t>Retargetting - Instant form / WA</t>
  </si>
  <si>
    <t>Website visits</t>
  </si>
  <si>
    <t>-</t>
  </si>
  <si>
    <t>Site traffic</t>
  </si>
  <si>
    <t>CPR</t>
  </si>
  <si>
    <t>Instant Form - Dealers</t>
  </si>
  <si>
    <t>20000</t>
  </si>
  <si>
    <t>Instant form leads</t>
  </si>
  <si>
    <t>Srilanka products</t>
  </si>
  <si>
    <t>Srilanka Dealers</t>
  </si>
  <si>
    <t>Product ads for Dealers</t>
  </si>
  <si>
    <t>Whatsapp leads - Dealers</t>
  </si>
  <si>
    <t>Instagram Profile Visits</t>
  </si>
  <si>
    <t>Results</t>
  </si>
  <si>
    <t>Page likes Campaign</t>
  </si>
  <si>
    <t>Reults</t>
  </si>
  <si>
    <t>Ads Spends</t>
  </si>
  <si>
    <t>Posts boosting</t>
  </si>
  <si>
    <t>Facebook</t>
  </si>
  <si>
    <t>FB page likes</t>
  </si>
  <si>
    <t>Boost Spends</t>
  </si>
  <si>
    <t>Pune</t>
  </si>
  <si>
    <t>Trichy</t>
  </si>
  <si>
    <t xml:space="preserve">3,627
</t>
  </si>
  <si>
    <t xml:space="preserve">15.38
</t>
  </si>
  <si>
    <t>Varanasi</t>
  </si>
  <si>
    <t xml:space="preserve">11.29
</t>
  </si>
  <si>
    <t>Kanpur &amp; Lucknow</t>
  </si>
  <si>
    <t>Mysore</t>
  </si>
  <si>
    <t xml:space="preserve">3,298
</t>
  </si>
  <si>
    <t>Orion panel</t>
  </si>
  <si>
    <t>Invisible grille</t>
  </si>
  <si>
    <t>Puducherry</t>
  </si>
  <si>
    <t>Retargeting</t>
  </si>
  <si>
    <t>Procurement Manager</t>
  </si>
  <si>
    <t>Supply Chain Manager</t>
  </si>
  <si>
    <t>Operations Manager</t>
  </si>
  <si>
    <t>Director</t>
  </si>
  <si>
    <t>Civil Engineering Manager</t>
  </si>
  <si>
    <t>CEO</t>
  </si>
  <si>
    <t>Managing Director</t>
  </si>
  <si>
    <t>Founder</t>
  </si>
  <si>
    <t>Nitin® Deco Panel</t>
  </si>
  <si>
    <t>Nitin® Lattice Sheet</t>
  </si>
  <si>
    <t>Geography</t>
  </si>
  <si>
    <t>Kodaikanal</t>
  </si>
  <si>
    <t>Chennai</t>
  </si>
  <si>
    <t>Tamil Nadu: Madurai, Trichy, Salem, Dindigul, Hosur</t>
  </si>
  <si>
    <t>Ooty</t>
  </si>
  <si>
    <t>Amaravathi</t>
  </si>
  <si>
    <t>Coimbatore</t>
  </si>
  <si>
    <t>Telangana: Hyderabad, Secunderabad</t>
  </si>
  <si>
    <t>Yercaud</t>
  </si>
  <si>
    <t>Chengalpattu</t>
  </si>
  <si>
    <t>Andhra Pradesh: Amaravati, Visakhapatnam</t>
  </si>
  <si>
    <t>ECR (Chennai)</t>
  </si>
  <si>
    <t>Karnataka: Bangalore, Mysore</t>
  </si>
  <si>
    <t>Kerala: Thiruvananthapuram, Kochi, Ernakulam</t>
  </si>
  <si>
    <t>Maharashtra: Pune, Nashik, Mumbai</t>
  </si>
  <si>
    <t>Madurai</t>
  </si>
  <si>
    <t>Industry / Job Titles</t>
  </si>
  <si>
    <t>Architect/Project Manager</t>
  </si>
  <si>
    <t>Elementary School Principal</t>
  </si>
  <si>
    <r>
      <rPr>
        <b/>
        <sz val="10"/>
        <color theme="1"/>
        <rFont val="Roboto"/>
      </rPr>
      <t>SCHOOL/UNIVERSITY</t>
    </r>
    <r>
      <rPr>
        <sz val="10"/>
        <color theme="1"/>
        <rFont val="Roboto"/>
      </rPr>
      <t>: High school</t>
    </r>
  </si>
  <si>
    <r>
      <rPr>
        <b/>
        <sz val="10"/>
        <color theme="1"/>
        <rFont val="Roboto"/>
      </rPr>
      <t xml:space="preserve">industry </t>
    </r>
    <r>
      <rPr>
        <sz val="10"/>
        <color theme="1"/>
        <rFont val="Roboto"/>
      </rPr>
      <t>- Wholesale</t>
    </r>
  </si>
  <si>
    <t>Architectural designer</t>
  </si>
  <si>
    <t>High School Assistant Principal</t>
  </si>
  <si>
    <r>
      <rPr>
        <b/>
        <sz val="10"/>
        <color theme="1"/>
        <rFont val="Roboto"/>
      </rPr>
      <t>EMPLOYERS</t>
    </r>
    <r>
      <rPr>
        <sz val="10"/>
        <color theme="1"/>
        <rFont val="Roboto"/>
      </rPr>
      <t>: Construction</t>
    </r>
  </si>
  <si>
    <r>
      <rPr>
        <b/>
        <sz val="10"/>
        <color theme="1"/>
        <rFont val="Roboto"/>
      </rPr>
      <t>Job Title</t>
    </r>
    <r>
      <rPr>
        <sz val="10"/>
        <color theme="1"/>
        <rFont val="Roboto"/>
      </rPr>
      <t xml:space="preserve"> - Business Owner</t>
    </r>
  </si>
  <si>
    <t>Architecture</t>
  </si>
  <si>
    <t>High School Principal</t>
  </si>
  <si>
    <t>Construction engineering</t>
  </si>
  <si>
    <t>Small Business Owner</t>
  </si>
  <si>
    <t>Building Construction Contractor</t>
  </si>
  <si>
    <t>K-12 School Principal</t>
  </si>
  <si>
    <r>
      <rPr>
        <b/>
        <sz val="10"/>
        <color theme="1"/>
        <rFont val="Roboto"/>
      </rPr>
      <t>JOB TITLES</t>
    </r>
    <r>
      <rPr>
        <sz val="10"/>
        <color theme="1"/>
        <rFont val="Roboto"/>
      </rPr>
      <t>: Professor</t>
    </r>
  </si>
  <si>
    <t>Owner</t>
  </si>
  <si>
    <t>Building Contractor</t>
  </si>
  <si>
    <t>Middle School Principal</t>
  </si>
  <si>
    <t>Vice-principal</t>
  </si>
  <si>
    <t>Co-Owner</t>
  </si>
  <si>
    <t>Construction Project Manager</t>
  </si>
  <si>
    <t>Educational Director</t>
  </si>
  <si>
    <t>Proprietor</t>
  </si>
  <si>
    <t>Project Architect</t>
  </si>
  <si>
    <t>Factory Manager</t>
  </si>
  <si>
    <t>Correspondent</t>
  </si>
  <si>
    <t>Commercial interior design</t>
  </si>
  <si>
    <t>Manufacturing Manager</t>
  </si>
  <si>
    <t>Restaurant management</t>
  </si>
  <si>
    <t>Manufacturing Engineer</t>
  </si>
  <si>
    <t>Educational consultant</t>
  </si>
  <si>
    <t>Manufacturing Supervisor</t>
  </si>
  <si>
    <t>Interior design</t>
  </si>
  <si>
    <t>Business Partner</t>
  </si>
  <si>
    <t>Supply Chain Director</t>
  </si>
  <si>
    <t>General Manager</t>
  </si>
  <si>
    <t>Logistics Manager</t>
  </si>
  <si>
    <t>Logistics Director</t>
  </si>
  <si>
    <t>Dealer</t>
  </si>
  <si>
    <t>Owner/Manager/CEO</t>
  </si>
  <si>
    <t>Wholesaler</t>
  </si>
  <si>
    <t>Procurement Officer</t>
  </si>
  <si>
    <t>Interior Designer/Owner</t>
  </si>
  <si>
    <t>Sales Manager</t>
  </si>
  <si>
    <t>Restaurant General Manager</t>
  </si>
  <si>
    <t>Procurement Specialist</t>
  </si>
  <si>
    <t>Co-Founder and COO</t>
  </si>
  <si>
    <t>AND</t>
  </si>
  <si>
    <t>Resort Manager</t>
  </si>
  <si>
    <t>Superintendent (construction)</t>
  </si>
  <si>
    <t>Interests</t>
  </si>
  <si>
    <t>Plant Manager</t>
  </si>
  <si>
    <t>Founder &amp; Principal</t>
  </si>
  <si>
    <t>Building material</t>
  </si>
  <si>
    <t>decoration (interior decor)</t>
  </si>
  <si>
    <t>K-12 Principal</t>
  </si>
  <si>
    <t>Construction</t>
  </si>
  <si>
    <t>Property development (property)</t>
  </si>
  <si>
    <t>Facility Manager</t>
  </si>
  <si>
    <t>Chairman &amp; Managing Director</t>
  </si>
  <si>
    <t>Steel Industry</t>
  </si>
  <si>
    <t>Property management (property)</t>
  </si>
  <si>
    <t>Environmental, Health, and Safety EHS Officer</t>
  </si>
  <si>
    <t>Founder and Managing Director</t>
  </si>
  <si>
    <t>Industrial Supplies</t>
  </si>
  <si>
    <t>Home improvement (home &amp; garden)</t>
  </si>
  <si>
    <t>Chief procurement officer</t>
  </si>
  <si>
    <t>Elementary Assistant Principal</t>
  </si>
  <si>
    <t>Fencing Materials</t>
  </si>
  <si>
    <t>Home construction</t>
  </si>
  <si>
    <t>Facility Managment</t>
  </si>
  <si>
    <t>Civil Engineer/Project Manager</t>
  </si>
  <si>
    <t>Wire products</t>
  </si>
  <si>
    <t>Landscape design</t>
  </si>
  <si>
    <t>Safety Officer</t>
  </si>
  <si>
    <t>Principal</t>
  </si>
  <si>
    <t>Construction materials</t>
  </si>
  <si>
    <t xml:space="preserve">Pergola </t>
  </si>
  <si>
    <t>Pergola</t>
  </si>
  <si>
    <t>Sports Director</t>
  </si>
  <si>
    <t>Farm supply</t>
  </si>
  <si>
    <t>Sports Instructor</t>
  </si>
  <si>
    <t>Principal teacher</t>
  </si>
  <si>
    <t>Industrial equipment</t>
  </si>
  <si>
    <t>Safety Manager</t>
  </si>
  <si>
    <t>School Headmaster</t>
  </si>
  <si>
    <t>Industrial supply chain</t>
  </si>
  <si>
    <t>Facilities Maintenance Supervisor</t>
  </si>
  <si>
    <t>B2B wholesale</t>
  </si>
  <si>
    <t>Business development</t>
  </si>
  <si>
    <t>Business expansion</t>
  </si>
  <si>
    <t>fencing</t>
  </si>
  <si>
    <t>Interior Design Consultant</t>
  </si>
  <si>
    <t>Business growth</t>
  </si>
  <si>
    <t>Solar energy (energy and utilities)</t>
  </si>
  <si>
    <t>Assistant Principal</t>
  </si>
  <si>
    <t>Business networking</t>
  </si>
  <si>
    <t>Renewable energy (energy and utilities)</t>
  </si>
  <si>
    <t>Entrepreneurship</t>
  </si>
  <si>
    <t>Solar power (energy and utilities)</t>
  </si>
  <si>
    <t>Franchise</t>
  </si>
  <si>
    <t>sports club (clubs and interest-based association</t>
  </si>
  <si>
    <t>Commercial Interior Designer</t>
  </si>
  <si>
    <t>Investment</t>
  </si>
  <si>
    <r>
      <rPr>
        <b/>
        <sz val="10"/>
        <color theme="1"/>
        <rFont val="Roboto"/>
      </rPr>
      <t xml:space="preserve">INDUSTRY </t>
    </r>
    <r>
      <rPr>
        <sz val="10"/>
        <color theme="1"/>
        <rFont val="Roboto"/>
      </rPr>
      <t>: Architecture and engineering</t>
    </r>
  </si>
  <si>
    <t>Distribution</t>
  </si>
  <si>
    <t>Wholesale</t>
  </si>
  <si>
    <t>Retail business</t>
  </si>
  <si>
    <t>Luxury watches</t>
  </si>
  <si>
    <t>Business Owner</t>
  </si>
  <si>
    <t>Modern architecture</t>
  </si>
  <si>
    <t>Land Rover</t>
  </si>
  <si>
    <t>Ferrari</t>
  </si>
  <si>
    <t>Porsche</t>
  </si>
  <si>
    <t>Rolls-Royce Motor Cars</t>
  </si>
  <si>
    <t>BMW</t>
  </si>
  <si>
    <t>Fencing</t>
  </si>
  <si>
    <t>Mercedes-Benz</t>
  </si>
  <si>
    <t>SUVs</t>
  </si>
  <si>
    <t>Interior architecture</t>
  </si>
  <si>
    <t>Luxury resorts</t>
  </si>
  <si>
    <t>Home automation</t>
  </si>
  <si>
    <t>Sedan</t>
  </si>
  <si>
    <t>Audi</t>
  </si>
  <si>
    <t>Lamborghini</t>
  </si>
  <si>
    <t>Range Rover</t>
  </si>
  <si>
    <t>Bentley</t>
  </si>
  <si>
    <t>Air conditioning</t>
  </si>
  <si>
    <t>Personal luxury car</t>
  </si>
  <si>
    <t xml:space="preserve">decorative wall panels </t>
  </si>
  <si>
    <t>lattice panels</t>
  </si>
  <si>
    <t>security fencing panels</t>
  </si>
  <si>
    <t>invisible grill</t>
  </si>
  <si>
    <t>exterior wall panels</t>
  </si>
  <si>
    <t>lattice sheets</t>
  </si>
  <si>
    <t>industrial fencing panels</t>
  </si>
  <si>
    <t>invisible grill for balcony</t>
  </si>
  <si>
    <t xml:space="preserve">facade panels </t>
  </si>
  <si>
    <t>decorative lattice panels</t>
  </si>
  <si>
    <t>perimeter security fencing</t>
  </si>
  <si>
    <t>window invisible grill</t>
  </si>
  <si>
    <t xml:space="preserve">cladding panels exterior </t>
  </si>
  <si>
    <t>metal lattice panels</t>
  </si>
  <si>
    <t>metal fence panels industrial</t>
  </si>
  <si>
    <t>stainless steel invisible grill</t>
  </si>
  <si>
    <t>outdoor wall cladding</t>
  </si>
  <si>
    <t>architectural lattice panels</t>
  </si>
  <si>
    <t>galvanized fence panels</t>
  </si>
  <si>
    <t>safety invisible grill</t>
  </si>
  <si>
    <t>architectural facade panels suppliers</t>
  </si>
  <si>
    <t>lattice facade panels</t>
  </si>
  <si>
    <t>high security fence panels</t>
  </si>
  <si>
    <t>invisible grill installation</t>
  </si>
  <si>
    <t>decorative panels for architects</t>
  </si>
  <si>
    <t>lattice wall panels exterior</t>
  </si>
  <si>
    <t>orion fence for industries</t>
  </si>
  <si>
    <t>invisible grill price</t>
  </si>
  <si>
    <t>wall cladding manufacturers india</t>
  </si>
  <si>
    <t>decorative metal screens exterior</t>
  </si>
  <si>
    <t>anti climb fencing panels</t>
  </si>
  <si>
    <t>invisible grill for apartments</t>
  </si>
  <si>
    <t>decorative panels manufacturer tamilnadu</t>
  </si>
  <si>
    <t>architectural screen panels</t>
  </si>
  <si>
    <t>industrial boundary fencing</t>
  </si>
  <si>
    <t>invisible grill for villas</t>
  </si>
  <si>
    <t xml:space="preserve">custom architectural panels </t>
  </si>
  <si>
    <t>metal screen panels exterior</t>
  </si>
  <si>
    <t>factory fencing panels</t>
  </si>
  <si>
    <t>child safety balcony grill</t>
  </si>
  <si>
    <t>building elevation panels</t>
  </si>
  <si>
    <t>custom lattice panels</t>
  </si>
  <si>
    <t>warehouse fencing panels</t>
  </si>
  <si>
    <t>anti pigeon net balcony</t>
  </si>
  <si>
    <t xml:space="preserve">villa exterior wall panels  </t>
  </si>
  <si>
    <t>architectural lattice panels suppliers</t>
  </si>
  <si>
    <t>rust proof fencing panels</t>
  </si>
  <si>
    <t>balcony bird protection solutions</t>
  </si>
  <si>
    <t>luxury facade cladding</t>
  </si>
  <si>
    <t>lattice sheet manufacturers india</t>
  </si>
  <si>
    <t>fencing panels for factories</t>
  </si>
  <si>
    <t>pigeon net installation</t>
  </si>
  <si>
    <t>hotel exterior design panels</t>
  </si>
  <si>
    <t xml:space="preserve">lattice panels for architects </t>
  </si>
  <si>
    <t>fencing panels for solar plants</t>
  </si>
  <si>
    <t>architectural invisible grill solutions</t>
  </si>
  <si>
    <t xml:space="preserve">seaside resort facade materials </t>
  </si>
  <si>
    <t>lattice sheet for builders</t>
  </si>
  <si>
    <t>infrastructure fencing panels</t>
  </si>
  <si>
    <t>invisible grill for builders</t>
  </si>
  <si>
    <t>hill station villa exterior panels</t>
  </si>
  <si>
    <t>exterior decorative screens for buildings</t>
  </si>
  <si>
    <t>fencing for industrial projects</t>
  </si>
  <si>
    <t>invisible grill for construction projects</t>
  </si>
  <si>
    <t>school building facade panels</t>
  </si>
  <si>
    <t>lattice sheets for resort</t>
  </si>
  <si>
    <t>sports ground fencing panels</t>
  </si>
  <si>
    <t>invisible grill for schools</t>
  </si>
  <si>
    <t>college exterior design materials</t>
  </si>
  <si>
    <t>villa exterior screen panels</t>
  </si>
  <si>
    <t>stadium fencing panels</t>
  </si>
  <si>
    <t>campus safety grill solutions</t>
  </si>
  <si>
    <t>institutional building cladding</t>
  </si>
  <si>
    <t>hotel exterior screen design panels</t>
  </si>
  <si>
    <t>school fencing panels</t>
  </si>
  <si>
    <t>hostel balcony safety grill</t>
  </si>
  <si>
    <t>campus architecture facade solutions</t>
  </si>
  <si>
    <t>seaside resort lattice sheets</t>
  </si>
  <si>
    <t>college campus fencing panels</t>
  </si>
  <si>
    <t>hospital window safety grill</t>
  </si>
  <si>
    <t>weather resistant facade panels</t>
  </si>
  <si>
    <t>school building lattice sheets</t>
  </si>
  <si>
    <t>resort boundary fencing panels</t>
  </si>
  <si>
    <t>invisible grill for hospitals</t>
  </si>
  <si>
    <t>exterior panels for coastal areas</t>
  </si>
  <si>
    <t>college exterior lattice sheets</t>
  </si>
  <si>
    <t>hotel security fencing panels</t>
  </si>
  <si>
    <t>invisible grill for commercial buildings</t>
  </si>
  <si>
    <t>rust proof wall cladding</t>
  </si>
  <si>
    <t>lattice sheet for campus</t>
  </si>
  <si>
    <t>sipcots industrial fencing</t>
  </si>
  <si>
    <t>modern balcony safety systems</t>
  </si>
  <si>
    <t>outdoor panels for seaside buildings</t>
  </si>
  <si>
    <t>weather resistant lattice panels</t>
  </si>
  <si>
    <t>orion fence</t>
  </si>
  <si>
    <t>best invisible grill for balcony</t>
  </si>
  <si>
    <t>best decorative panels for resorts</t>
  </si>
  <si>
    <t>invisible grill near me</t>
  </si>
  <si>
    <t>modern exterior wall panels for villas</t>
  </si>
  <si>
    <t>rust proof metal lattice panels</t>
  </si>
  <si>
    <t>invisible net for balcony</t>
  </si>
  <si>
    <t>premium wall cladding for architects</t>
  </si>
  <si>
    <t>garden lattice trellis</t>
  </si>
  <si>
    <t>Distributor</t>
  </si>
  <si>
    <t xml:space="preserve">industries - </t>
  </si>
  <si>
    <t>Building Materials</t>
  </si>
  <si>
    <t>Civil Engineering</t>
  </si>
  <si>
    <t>Mechanical / Industrial Engineering</t>
  </si>
  <si>
    <t>Mining &amp; Metals</t>
  </si>
  <si>
    <t>Import &amp; Export</t>
  </si>
  <si>
    <t>Infrastructure / Real Estate Development</t>
  </si>
  <si>
    <t>skills - Or</t>
  </si>
  <si>
    <t>Distribution Management</t>
  </si>
  <si>
    <t>Supply Chain Management</t>
  </si>
  <si>
    <t>Procurement</t>
  </si>
  <si>
    <t>B2B Sales</t>
  </si>
  <si>
    <r>
      <t xml:space="preserve">Job Titles - </t>
    </r>
    <r>
      <rPr>
        <b/>
        <sz val="10"/>
        <color theme="1"/>
        <rFont val="Roboto"/>
      </rPr>
      <t>AND</t>
    </r>
  </si>
  <si>
    <t>Founder / Co-Founder</t>
  </si>
  <si>
    <t>Partner</t>
  </si>
  <si>
    <t>Business Head</t>
  </si>
  <si>
    <t>Operations Head</t>
  </si>
  <si>
    <t>Purchase Manager</t>
  </si>
  <si>
    <t>Business Development</t>
  </si>
  <si>
    <t>Operations</t>
  </si>
  <si>
    <t>Purchasing</t>
  </si>
  <si>
    <t>Sales</t>
  </si>
  <si>
    <t>Supply Chain</t>
  </si>
  <si>
    <t>Manager</t>
  </si>
  <si>
    <t>General</t>
  </si>
  <si>
    <t>Agriculture</t>
  </si>
  <si>
    <t>Construction and Real Estate</t>
  </si>
  <si>
    <t>Schools, Colleges</t>
  </si>
  <si>
    <t>Villas &amp; Residential Spaces</t>
  </si>
  <si>
    <t>Manufacturing Unit</t>
  </si>
  <si>
    <t>fencing for agriculture</t>
  </si>
  <si>
    <t>picket fence suppliers near me</t>
  </si>
  <si>
    <t>Metasmart Sheets</t>
  </si>
  <si>
    <t>fence for home</t>
  </si>
  <si>
    <t>factory perimeter fencing</t>
  </si>
  <si>
    <t>wire mesh dealers near me</t>
  </si>
  <si>
    <t>fence for farming</t>
  </si>
  <si>
    <t>picket fence</t>
  </si>
  <si>
    <t>garden edging</t>
  </si>
  <si>
    <t>villa boundary fencing</t>
  </si>
  <si>
    <t>manufacturing unit fencing</t>
  </si>
  <si>
    <t>fence dealers near me</t>
  </si>
  <si>
    <r>
      <rPr>
        <sz val="10"/>
        <color theme="1"/>
        <rFont val="Roboto"/>
      </rPr>
      <t>agricultural fencing manufacturer</t>
    </r>
  </si>
  <si>
    <t>planter box supplier</t>
  </si>
  <si>
    <t>compound wall fencing</t>
  </si>
  <si>
    <t>factory security fencing</t>
  </si>
  <si>
    <t>fencing distributor</t>
  </si>
  <si>
    <t>farm fencing cost</t>
  </si>
  <si>
    <t>planter box</t>
  </si>
  <si>
    <t>Facade Mesh</t>
  </si>
  <si>
    <t>home fencing supplier</t>
  </si>
  <si>
    <t>industrial security wire mesh</t>
  </si>
  <si>
    <t>wire mesh distributor</t>
  </si>
  <si>
    <t>tree guard</t>
  </si>
  <si>
    <t>facade mesh</t>
  </si>
  <si>
    <t>deco panels</t>
  </si>
  <si>
    <t>villa security fencing</t>
  </si>
  <si>
    <t>chain link fence for factory</t>
  </si>
  <si>
    <t>industrial fencing distributor</t>
  </si>
  <si>
    <t>perforated sheet</t>
  </si>
  <si>
    <t>tree protectors</t>
  </si>
  <si>
    <t>concertina coil</t>
  </si>
  <si>
    <t>wall spikes supplier</t>
  </si>
  <si>
    <t>gated community fencing</t>
  </si>
  <si>
    <t>barbed wire for factory</t>
  </si>
  <si>
    <t>fencing manufacturer chennai</t>
  </si>
  <si>
    <t>steel net</t>
  </si>
  <si>
    <t>metal tree guards</t>
  </si>
  <si>
    <t>razor panel</t>
  </si>
  <si>
    <t>college campus fencing</t>
  </si>
  <si>
    <t>decorative fencing for villas</t>
  </si>
  <si>
    <t>anti-climb razor wire fencing</t>
  </si>
  <si>
    <t>fencing wholesale supplier</t>
  </si>
  <si>
    <t>barbed wire price</t>
  </si>
  <si>
    <t>mesh tree guards</t>
  </si>
  <si>
    <t>fence supplier for construction</t>
  </si>
  <si>
    <t>campus security fencing</t>
  </si>
  <si>
    <t>factory security concertina wire</t>
  </si>
  <si>
    <t>wire mesh wholesale</t>
  </si>
  <si>
    <t>fencing wire price</t>
  </si>
  <si>
    <t>stay lock fence</t>
  </si>
  <si>
    <t>wire mesh for construction</t>
  </si>
  <si>
    <t>school compound fencing</t>
  </si>
  <si>
    <t>invisible grill for windows</t>
  </si>
  <si>
    <t>welded mesh for factory</t>
  </si>
  <si>
    <t>bulk fencing supplier</t>
  </si>
  <si>
    <t>cyclone fencing cost</t>
  </si>
  <si>
    <t>chain link fence suppliers near me</t>
  </si>
  <si>
    <t>construction safety fencing</t>
  </si>
  <si>
    <t>chain link fence for school</t>
  </si>
  <si>
    <t>safety grills for homes</t>
  </si>
  <si>
    <t>industrial welded wire mesh</t>
  </si>
  <si>
    <t>bulk wire mesh supplier</t>
  </si>
  <si>
    <t>wholesale fencing suppliers</t>
  </si>
  <si>
    <t>chain link fence manufacturers near me</t>
  </si>
  <si>
    <t>chain link fence for construction</t>
  </si>
  <si>
    <t>security mesh for school compound</t>
  </si>
  <si>
    <t>balcony safety grills</t>
  </si>
  <si>
    <t>factory fencing chennai</t>
  </si>
  <si>
    <t>fencing dealer chennai</t>
  </si>
  <si>
    <t>tata chain link fencing price</t>
  </si>
  <si>
    <t>fencing for apartment projects</t>
  </si>
  <si>
    <t>sports net fencing supplier</t>
  </si>
  <si>
    <t>child safety window grills</t>
  </si>
  <si>
    <t>wire mesh supplier near me</t>
  </si>
  <si>
    <t>wire mesh dealer chennai</t>
  </si>
  <si>
    <t>fencing manufacturer near me</t>
  </si>
  <si>
    <t>pvc chain link fence supplier</t>
  </si>
  <si>
    <t>fencing supplier chennai</t>
  </si>
  <si>
    <t>college fencing contractor tamil nadu</t>
  </si>
  <si>
    <t>balcony protective mesh</t>
  </si>
  <si>
    <t>chain link fence supplier near me</t>
  </si>
  <si>
    <t>fencing distributor chennai</t>
  </si>
  <si>
    <t>orion fencing panel</t>
  </si>
  <si>
    <t>barbed wire fence</t>
  </si>
  <si>
    <t>construction fencing chennai</t>
  </si>
  <si>
    <t>school fencing supplier chennai</t>
  </si>
  <si>
    <t>chain link fence for home</t>
  </si>
  <si>
    <t>industrial chain link fence supplier chennai</t>
  </si>
  <si>
    <t>wire mesh distributor chennai</t>
  </si>
  <si>
    <t>nitin wire group</t>
  </si>
  <si>
    <t>college boundary wire mesh</t>
  </si>
  <si>
    <t>decorative metal panels for homes</t>
  </si>
  <si>
    <t>fencing dealership tamil nadu</t>
  </si>
  <si>
    <t>orion welded mesh</t>
  </si>
  <si>
    <t>razor wire price</t>
  </si>
  <si>
    <t>nitin fencing</t>
  </si>
  <si>
    <t>metal mesh panels for campus</t>
  </si>
  <si>
    <t>metal partition panels for home</t>
  </si>
  <si>
    <t>wire mesh dealership india</t>
  </si>
  <si>
    <t>deco fence</t>
  </si>
  <si>
    <t>weld mesh chennai</t>
  </si>
  <si>
    <t>villa project fencing supplier</t>
  </si>
  <si>
    <t>fencing distributor near me</t>
  </si>
  <si>
    <t>decorative fencing panel</t>
  </si>
  <si>
    <t>welded mesh manufacturer</t>
  </si>
  <si>
    <t>residential fencing chennai</t>
  </si>
  <si>
    <t>lattice sheet fence</t>
  </si>
  <si>
    <t>weld mesh suppliers near me</t>
  </si>
  <si>
    <t>balcony grills chennai</t>
  </si>
  <si>
    <t>Lattice Manufacturers in Chennai</t>
  </si>
  <si>
    <t>shade net supplier</t>
  </si>
  <si>
    <t>invisible grille</t>
  </si>
  <si>
    <t>polymers manufacturing</t>
  </si>
  <si>
    <t>invisible window grill</t>
  </si>
  <si>
    <t>balcony invisible grill</t>
  </si>
  <si>
    <t>invisible grille manufacturer near me</t>
  </si>
  <si>
    <t>industrial fence panels</t>
  </si>
  <si>
    <t>Locations</t>
  </si>
  <si>
    <t>Tamil Nadu – 60%</t>
  </si>
  <si>
    <t>Andhra Pradesh – 20%</t>
  </si>
  <si>
    <t>Puducherry – 15%</t>
  </si>
  <si>
    <t>Karnataka – 5%</t>
  </si>
  <si>
    <t>Telangana</t>
  </si>
  <si>
    <t>Targeted Location</t>
  </si>
  <si>
    <t>1. Tamil Nadu: Madurai, Trichy, Salem, Dindigul, Hosur</t>
  </si>
  <si>
    <t>2. Telangana: Hyderabad, Secunderabad</t>
  </si>
  <si>
    <t>3. Andhra Pradesh: Amaravati, Visakhapatnam (Vizag)</t>
  </si>
  <si>
    <t>4. Karnataka: Bangalore, Mysore</t>
  </si>
  <si>
    <t>5. Kerala: Thiruvananthapuram, Kochi, Ernakulam</t>
  </si>
  <si>
    <t>6. Maharashtra: Aurangabad, Nashik, Mumbai</t>
  </si>
  <si>
    <t>Chain link fence</t>
  </si>
  <si>
    <t>chain link fence</t>
  </si>
  <si>
    <t>nitin wires fencing</t>
  </si>
  <si>
    <t>warehouse construction</t>
  </si>
  <si>
    <t>factory setup</t>
  </si>
  <si>
    <t>industrial infrastructure</t>
  </si>
  <si>
    <t>building materials</t>
  </si>
  <si>
    <t>fencing installation</t>
  </si>
  <si>
    <t>construction projects</t>
  </si>
  <si>
    <t>warehouse security</t>
  </si>
  <si>
    <t>farm protection</t>
  </si>
  <si>
    <t>industrial safety</t>
  </si>
  <si>
    <t>perimeter security</t>
  </si>
  <si>
    <t>civil engineering</t>
  </si>
  <si>
    <t>factory construction</t>
  </si>
  <si>
    <t>real estate projects</t>
  </si>
  <si>
    <t>agriculture solutions</t>
  </si>
  <si>
    <t>infrastructure development</t>
  </si>
  <si>
    <t>industrial solutions</t>
  </si>
  <si>
    <t>security solutions</t>
  </si>
  <si>
    <t>outdoor security</t>
  </si>
  <si>
    <t>commercial property security</t>
  </si>
  <si>
    <t>Target videos/channels about:</t>
  </si>
  <si>
    <t>factory projects</t>
  </si>
  <si>
    <t>agriculture infrastructure</t>
  </si>
  <si>
    <t>industrial equipment</t>
  </si>
  <si>
    <t>Nov</t>
  </si>
  <si>
    <t>Dec</t>
  </si>
  <si>
    <t xml:space="preserve">  </t>
  </si>
  <si>
    <t>Whatsapp redirect ad</t>
  </si>
  <si>
    <t>Product</t>
  </si>
  <si>
    <t>Individual ad sets based on audience</t>
  </si>
  <si>
    <t>Instant form with OTP verification</t>
  </si>
  <si>
    <t>Industry</t>
  </si>
  <si>
    <t>Product carousal</t>
  </si>
  <si>
    <t>Instagram profile visits ad</t>
  </si>
  <si>
    <t>Youtube ads - 15 secs [non skippable]</t>
  </si>
  <si>
    <t>lead gen</t>
  </si>
  <si>
    <t>Chatgpt ads</t>
  </si>
  <si>
    <t>Explore Gemini ads</t>
  </si>
  <si>
    <t>Competitor analysis - latofence</t>
  </si>
  <si>
    <t>Words sample - no of distributors partnered with us</t>
  </si>
  <si>
    <t>Dealer ad</t>
  </si>
  <si>
    <t>Only OTP verification / Whatsapp verification</t>
  </si>
  <si>
    <t>Dealers ad</t>
  </si>
  <si>
    <t>Across india</t>
  </si>
  <si>
    <t>Need to finalize target audience, language for each products</t>
  </si>
  <si>
    <t>Competition mapping</t>
  </si>
  <si>
    <t>Add brand numbers in ads</t>
  </si>
  <si>
    <t>Same day feedback on calls</t>
  </si>
  <si>
    <t>IPL related creatives</t>
  </si>
  <si>
    <t>leads</t>
  </si>
  <si>
    <t>4 products</t>
  </si>
  <si>
    <t>deco, lattice, orion</t>
  </si>
  <si>
    <t>Except invisible grill</t>
  </si>
  <si>
    <t>Related products</t>
  </si>
  <si>
    <t>Instant forms</t>
  </si>
  <si>
    <t>Need to change the lead counts</t>
  </si>
  <si>
    <t>Deco panel</t>
  </si>
  <si>
    <t>Podcast views</t>
  </si>
  <si>
    <t>Product specific keywords for podcast views</t>
  </si>
  <si>
    <t>May - chainlink fence</t>
  </si>
  <si>
    <t>No ads on linkedin</t>
  </si>
  <si>
    <t>Try for 1 week</t>
  </si>
  <si>
    <t>Add intereated people dm</t>
  </si>
  <si>
    <t>One more question for invisible grille form</t>
  </si>
  <si>
    <t>Location + 30 mi</t>
  </si>
  <si>
    <t>Reduce miles for andhra, telangana</t>
  </si>
  <si>
    <t>Cities + 10</t>
  </si>
  <si>
    <t>Others</t>
  </si>
  <si>
    <t>Cities + 20</t>
  </si>
  <si>
    <t>Increase to 30</t>
  </si>
  <si>
    <t>Lead feedback</t>
  </si>
  <si>
    <t>Interest</t>
  </si>
  <si>
    <t>Potential</t>
  </si>
  <si>
    <t>Competitor - dealer</t>
  </si>
  <si>
    <t>Indonet</t>
  </si>
  <si>
    <t>Showcase strongly - lattice</t>
  </si>
  <si>
    <t>Differentiate with australian</t>
  </si>
  <si>
    <t>Focus - deco</t>
  </si>
  <si>
    <t>Ask custom audience datas in prior</t>
  </si>
  <si>
    <t>Need video for dealer</t>
  </si>
  <si>
    <t>Form leads repeated for dealers</t>
  </si>
  <si>
    <t>Ad creatives approaches</t>
  </si>
  <si>
    <t>Ad creatives approval to be done before 1 week</t>
  </si>
  <si>
    <t>Odoo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</si>
</sst>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₹-4009]#,##0.00"/>
    <numFmt numFmtId="165" formatCode="mmm\ yyyy"/>
    <numFmt numFmtId="167" formatCode="mmm\ d"/>
    <numFmt numFmtId="168" formatCode="mmmm\ d"/>
  </numFmts>
  <fonts count="22">
    <font>
      <sz val="10"/>
      <color theme="1"/>
      <name val="Roboto"/>
    </font>
    <font>
      <b/>
      <sz val="10"/>
      <color theme="1"/>
      <name val="Roboto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Roboto"/>
    </font>
    <font>
      <b/>
      <sz val="10"/>
      <color theme="1"/>
      <name val="Arial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rgb="FF00B050"/>
      <name val="Roboto"/>
    </font>
    <font>
      <sz val="10"/>
      <name val="Roboto"/>
    </font>
    <font>
      <sz val="10"/>
      <name val="Roboto"/>
    </font>
    <font>
      <sz val="10"/>
      <color rgb="FF00B050"/>
      <name val="Roboto"/>
    </font>
    <font>
      <sz val="10"/>
      <color theme="1"/>
      <name val="Roboto"/>
    </font>
    <font>
      <sz val="10"/>
      <color rgb="FF202124"/>
      <name val="Roboto"/>
    </font>
    <font>
      <sz val="10"/>
      <color theme="2" tint="-0.249977111117893"/>
      <name val="Roboto"/>
    </font>
    <font>
      <sz val="10"/>
      <color theme="2" tint="-0.34998626667073579"/>
      <name val="Roboto"/>
    </font>
    <font>
      <sz val="10"/>
      <color rgb="FFFF0000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 tint="-0.14999847407452621"/>
        <bgColor theme="2" tint="-0.14999847407452621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2" tint="-0.34998626667073579"/>
        <bgColor theme="2" tint="-0.34998626667073579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7">
    <xf numFmtId="0" fontId="0" fillId="0" borderId="0" xfId="0">
      <alignment vertical="top"/>
    </xf>
    <xf numFmtId="164" fontId="0" fillId="0" borderId="0" xfId="0" applyNumberFormat="1">
      <alignment vertical="top"/>
    </xf>
    <xf numFmtId="0" fontId="2" fillId="2" borderId="0" xfId="0" applyFont="1" applyFill="1">
      <alignment vertical="top"/>
    </xf>
    <xf numFmtId="0" fontId="3" fillId="0" borderId="0" xfId="0" applyFont="1">
      <alignment vertical="top"/>
    </xf>
    <xf numFmtId="0" fontId="2" fillId="0" borderId="0" xfId="0" applyFon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1" fillId="2" borderId="0" xfId="0" applyFont="1" applyFill="1">
      <alignment vertical="top"/>
    </xf>
    <xf numFmtId="0" fontId="1" fillId="0" borderId="0" xfId="0" applyFont="1">
      <alignment vertical="top"/>
    </xf>
    <xf numFmtId="0" fontId="7" fillId="3" borderId="0" xfId="0" applyFont="1" applyFill="1" applyAlignment="1"/>
    <xf numFmtId="165" fontId="1" fillId="3" borderId="0" xfId="0" applyNumberFormat="1" applyFont="1" applyFill="1">
      <alignment vertical="top"/>
    </xf>
    <xf numFmtId="165" fontId="1" fillId="3" borderId="0" xfId="0" applyNumberFormat="1" applyFont="1" applyFill="1" applyAlignment="1">
      <alignment horizontal="center" vertical="top"/>
    </xf>
    <xf numFmtId="0" fontId="1" fillId="3" borderId="0" xfId="0" applyFont="1" applyFill="1">
      <alignment vertical="top"/>
    </xf>
    <xf numFmtId="0" fontId="8" fillId="2" borderId="0" xfId="0" applyFont="1" applyFill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>
      <alignment vertical="top"/>
    </xf>
    <xf numFmtId="164" fontId="12" fillId="0" borderId="0" xfId="0" applyNumberFormat="1" applyFont="1" applyAlignment="1">
      <alignment horizontal="right" vertical="top"/>
    </xf>
    <xf numFmtId="0" fontId="13" fillId="0" borderId="0" xfId="0" applyFont="1" applyAlignment="1"/>
    <xf numFmtId="164" fontId="0" fillId="0" borderId="0" xfId="0" applyNumberFormat="1" applyAlignment="1">
      <alignment horizontal="right" vertical="top"/>
    </xf>
    <xf numFmtId="0" fontId="14" fillId="0" borderId="0" xfId="0" applyFont="1">
      <alignment vertical="top"/>
    </xf>
    <xf numFmtId="0" fontId="0" fillId="0" borderId="0" xfId="0" applyAlignment="1">
      <alignment horizontal="right" vertical="top"/>
    </xf>
    <xf numFmtId="0" fontId="15" fillId="0" borderId="0" xfId="0" applyFont="1">
      <alignment vertical="top"/>
    </xf>
    <xf numFmtId="0" fontId="16" fillId="0" borderId="0" xfId="0" applyFont="1">
      <alignment vertical="top"/>
    </xf>
    <xf numFmtId="0" fontId="12" fillId="0" borderId="0" xfId="0" applyFont="1">
      <alignment vertical="top"/>
    </xf>
    <xf numFmtId="0" fontId="6" fillId="0" borderId="0" xfId="0" applyFont="1">
      <alignment vertical="top"/>
    </xf>
    <xf numFmtId="0" fontId="6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1" fillId="4" borderId="0" xfId="0" applyFont="1" applyFill="1">
      <alignment vertical="top"/>
    </xf>
    <xf numFmtId="0" fontId="0" fillId="4" borderId="0" xfId="0" applyFill="1">
      <alignment vertical="top"/>
    </xf>
    <xf numFmtId="0" fontId="0" fillId="0" borderId="0" xfId="0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" fillId="5" borderId="0" xfId="0" applyFont="1" applyFill="1">
      <alignment vertical="top"/>
    </xf>
    <xf numFmtId="0" fontId="19" fillId="0" borderId="0" xfId="0" applyFont="1">
      <alignment vertical="top"/>
    </xf>
    <xf numFmtId="0" fontId="20" fillId="0" borderId="0" xfId="0" applyFont="1">
      <alignment vertical="top"/>
    </xf>
    <xf numFmtId="0" fontId="1" fillId="6" borderId="0" xfId="0" applyFont="1" applyFill="1">
      <alignment vertical="top"/>
    </xf>
    <xf numFmtId="0" fontId="21" fillId="0" borderId="0" xfId="0" applyFont="1">
      <alignment vertical="top"/>
    </xf>
    <xf numFmtId="167" fontId="1" fillId="0" borderId="0" xfId="0" applyNumberFormat="1" applyFont="1" applyAlignment="1">
      <alignment horizontal="left" vertical="top"/>
    </xf>
    <xf numFmtId="9" fontId="6" fillId="0" borderId="0" xfId="0" applyNumberFormat="1" applyFont="1" applyAlignment="1">
      <alignment horizontal="left" vertical="top"/>
    </xf>
    <xf numFmtId="168" fontId="1" fillId="0" borderId="0" xfId="0" applyNumberFormat="1" applyFont="1" applyAlignment="1">
      <alignment horizontal="left" vertical="top"/>
    </xf>
    <xf numFmtId="167" fontId="1" fillId="2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9" fontId="0" fillId="0" borderId="0" xfId="0" applyNumberFormat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704850</xdr:colOff>
      <xdr:row>58</xdr:row>
      <xdr:rowOff>133350</xdr:rowOff>
    </xdr:to>
    <xdr:sp macro="" textlink="">
      <xdr:nvSpPr>
        <xdr:cNvPr id="2051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16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1" customHeight="1"/>
  <cols>
    <col min="1" max="1" width="28.140625"/>
    <col min="2" max="2" width="16"/>
    <col min="3" max="5" width="14.28515625"/>
    <col min="6" max="6" width="16.7109375"/>
    <col min="7" max="11" width="14.28515625"/>
    <col min="12" max="12" width="11.7109375"/>
    <col min="13" max="2048" width="14.28515625"/>
  </cols>
  <sheetData>
    <row r="1" spans="1:13" s="12" customFormat="1" ht="12.75">
      <c r="A1" s="9" t="s">
        <v>21</v>
      </c>
      <c r="B1" s="9" t="s">
        <v>22</v>
      </c>
      <c r="C1" s="10">
        <v>45992</v>
      </c>
      <c r="D1" s="10">
        <v>46023</v>
      </c>
      <c r="E1" s="10">
        <v>46054</v>
      </c>
      <c r="F1" s="11">
        <v>46082</v>
      </c>
      <c r="G1" s="11">
        <v>46113</v>
      </c>
      <c r="H1" s="10">
        <v>46143</v>
      </c>
      <c r="I1" s="10">
        <v>46174</v>
      </c>
      <c r="J1" s="10">
        <v>46204</v>
      </c>
      <c r="K1" s="10">
        <v>46235</v>
      </c>
      <c r="L1" s="10">
        <v>46266</v>
      </c>
      <c r="M1" s="10">
        <v>46296</v>
      </c>
    </row>
    <row r="2" spans="1:13" ht="12.75">
      <c r="A2" s="13" t="s">
        <v>1</v>
      </c>
      <c r="B2" s="14"/>
    </row>
    <row r="3" spans="1:13" ht="12.75">
      <c r="A3" s="3" t="s">
        <v>2</v>
      </c>
      <c r="B3" s="15" t="s">
        <v>23</v>
      </c>
      <c r="F3" s="14">
        <v>3000</v>
      </c>
    </row>
    <row r="4" spans="1:13" ht="12.75">
      <c r="A4" s="14"/>
      <c r="B4" s="15" t="s">
        <v>24</v>
      </c>
      <c r="F4" s="14"/>
    </row>
    <row r="5" spans="1:13" ht="12.75">
      <c r="B5" s="14" t="s">
        <v>25</v>
      </c>
      <c r="F5" s="14"/>
    </row>
    <row r="6" spans="1:13" ht="12.75">
      <c r="A6" s="14"/>
      <c r="B6" t="s">
        <v>26</v>
      </c>
      <c r="F6" s="14"/>
    </row>
    <row r="7" spans="1:13" ht="12.75">
      <c r="A7" s="14"/>
      <c r="B7" s="15" t="s">
        <v>27</v>
      </c>
      <c r="F7" s="14"/>
    </row>
    <row r="8" spans="1:13" ht="12.75">
      <c r="A8" s="14"/>
      <c r="B8" s="14" t="s">
        <v>5</v>
      </c>
      <c r="F8" s="14"/>
    </row>
    <row r="9" spans="1:13" ht="12.75">
      <c r="A9" s="14"/>
      <c r="B9" s="14" t="s">
        <v>18</v>
      </c>
      <c r="F9" s="14"/>
    </row>
    <row r="10" spans="1:13" ht="12.75">
      <c r="A10" s="14"/>
      <c r="B10" s="14"/>
      <c r="F10" s="14"/>
    </row>
    <row r="11" spans="1:13" ht="12.75">
      <c r="A11" s="3" t="s">
        <v>4</v>
      </c>
      <c r="B11" s="15" t="s">
        <v>23</v>
      </c>
      <c r="F11" s="14">
        <v>5000</v>
      </c>
    </row>
    <row r="12" spans="1:13" ht="12.75">
      <c r="A12" s="14"/>
      <c r="B12" s="15" t="s">
        <v>24</v>
      </c>
      <c r="F12">
        <v>5000</v>
      </c>
    </row>
    <row r="13" spans="1:13" ht="12.75">
      <c r="B13" s="14" t="s">
        <v>25</v>
      </c>
      <c r="F13">
        <v>5770</v>
      </c>
    </row>
    <row r="14" spans="1:13" ht="12.75">
      <c r="A14" s="14"/>
      <c r="B14" t="s">
        <v>26</v>
      </c>
      <c r="F14" s="14">
        <v>55</v>
      </c>
    </row>
    <row r="15" spans="1:13" ht="12.75">
      <c r="A15" s="14"/>
      <c r="B15" s="15" t="s">
        <v>27</v>
      </c>
      <c r="F15" s="14">
        <v>90.91</v>
      </c>
    </row>
    <row r="16" spans="1:13" ht="12.75">
      <c r="A16" s="14"/>
      <c r="B16" s="14" t="s">
        <v>5</v>
      </c>
      <c r="F16" s="14">
        <v>0</v>
      </c>
    </row>
    <row r="17" spans="1:13" ht="12.75">
      <c r="A17" s="14"/>
      <c r="B17" s="14" t="s">
        <v>18</v>
      </c>
      <c r="F17" s="14">
        <v>0</v>
      </c>
    </row>
    <row r="18" spans="1:13" ht="12.75">
      <c r="A18" s="14"/>
      <c r="B18" s="14"/>
      <c r="F18" s="14"/>
    </row>
    <row r="19" spans="1:13" ht="12.75">
      <c r="A19" s="4" t="s">
        <v>28</v>
      </c>
      <c r="B19" s="15" t="s">
        <v>23</v>
      </c>
      <c r="F19" s="14">
        <v>2000</v>
      </c>
    </row>
    <row r="20" spans="1:13" ht="12.75">
      <c r="A20" s="14"/>
      <c r="B20" s="15" t="s">
        <v>24</v>
      </c>
      <c r="F20" s="14"/>
    </row>
    <row r="21" spans="1:13" ht="12.75">
      <c r="B21" s="14" t="s">
        <v>25</v>
      </c>
      <c r="F21" s="14"/>
    </row>
    <row r="22" spans="1:13" ht="12.75">
      <c r="A22" s="14"/>
      <c r="B22" t="s">
        <v>26</v>
      </c>
      <c r="F22" s="14"/>
    </row>
    <row r="23" spans="1:13" ht="12.75">
      <c r="A23" s="14"/>
      <c r="B23" s="15" t="s">
        <v>27</v>
      </c>
      <c r="F23" s="14"/>
    </row>
    <row r="24" spans="1:13" ht="12.75">
      <c r="A24" s="14"/>
      <c r="B24" s="14" t="s">
        <v>5</v>
      </c>
      <c r="F24" s="14"/>
    </row>
    <row r="25" spans="1:13" ht="12.75">
      <c r="A25" s="14"/>
      <c r="B25" s="14" t="s">
        <v>18</v>
      </c>
      <c r="F25" s="14"/>
    </row>
    <row r="26" spans="1:13" ht="12.75">
      <c r="A26" s="14"/>
      <c r="B26" s="14"/>
      <c r="F26" s="14"/>
    </row>
    <row r="27" spans="1:13" ht="12.75">
      <c r="A27" s="7" t="s">
        <v>6</v>
      </c>
      <c r="B27" s="14"/>
      <c r="F27" s="14"/>
    </row>
    <row r="28" spans="1:13" ht="12.75">
      <c r="A28" s="3" t="s">
        <v>29</v>
      </c>
      <c r="B28" s="16" t="s">
        <v>23</v>
      </c>
      <c r="F28">
        <v>6000</v>
      </c>
      <c r="G28">
        <v>3000</v>
      </c>
      <c r="H28">
        <v>20000</v>
      </c>
      <c r="I28">
        <v>20000</v>
      </c>
      <c r="J28" s="1">
        <v>15000</v>
      </c>
      <c r="K28" s="1">
        <v>10000</v>
      </c>
      <c r="L28" s="17">
        <v>10000</v>
      </c>
      <c r="M28" s="17">
        <v>10000</v>
      </c>
    </row>
    <row r="29" spans="1:13" ht="12.75">
      <c r="A29" s="18" t="s">
        <v>30</v>
      </c>
      <c r="B29" s="16" t="s">
        <v>24</v>
      </c>
      <c r="F29">
        <v>5657.07</v>
      </c>
      <c r="G29">
        <v>3103.36</v>
      </c>
      <c r="H29">
        <v>9378.2199999999993</v>
      </c>
      <c r="I29">
        <v>18693.96</v>
      </c>
      <c r="J29">
        <v>12234.36</v>
      </c>
      <c r="K29">
        <v>9114.59</v>
      </c>
      <c r="L29">
        <v>8296.31</v>
      </c>
      <c r="M29">
        <v>8035.73</v>
      </c>
    </row>
    <row r="30" spans="1:13" ht="12.75">
      <c r="A30" s="14"/>
      <c r="B30" s="14" t="s">
        <v>26</v>
      </c>
      <c r="F30">
        <v>717</v>
      </c>
      <c r="G30">
        <v>412</v>
      </c>
      <c r="H30">
        <v>811</v>
      </c>
      <c r="I30">
        <v>1177</v>
      </c>
      <c r="J30">
        <v>412</v>
      </c>
      <c r="K30">
        <v>474</v>
      </c>
      <c r="L30">
        <v>468</v>
      </c>
      <c r="M30">
        <v>290</v>
      </c>
    </row>
    <row r="31" spans="1:13" ht="12.75">
      <c r="A31" s="14"/>
      <c r="B31" s="14" t="s">
        <v>27</v>
      </c>
      <c r="F31" s="14">
        <v>7.89</v>
      </c>
      <c r="G31">
        <v>7.53</v>
      </c>
      <c r="H31">
        <v>11.56</v>
      </c>
      <c r="I31">
        <v>17.940000000000001</v>
      </c>
      <c r="J31">
        <v>29.7</v>
      </c>
      <c r="K31">
        <v>19.23</v>
      </c>
      <c r="L31">
        <v>17.73</v>
      </c>
      <c r="M31">
        <v>27.71</v>
      </c>
    </row>
    <row r="32" spans="1:13" ht="12.75">
      <c r="A32" s="14"/>
      <c r="B32" s="14" t="s">
        <v>5</v>
      </c>
      <c r="F32" s="14">
        <v>11</v>
      </c>
      <c r="G32">
        <v>11</v>
      </c>
      <c r="H32">
        <v>25</v>
      </c>
      <c r="I32">
        <v>16</v>
      </c>
      <c r="J32">
        <v>8</v>
      </c>
      <c r="K32">
        <v>18</v>
      </c>
      <c r="L32">
        <v>14</v>
      </c>
      <c r="M32">
        <v>8</v>
      </c>
    </row>
    <row r="33" spans="1:13" ht="12.75">
      <c r="A33" s="14"/>
      <c r="B33" s="14" t="s">
        <v>31</v>
      </c>
      <c r="F33" s="14">
        <v>13</v>
      </c>
      <c r="G33">
        <v>2</v>
      </c>
      <c r="H33">
        <v>4</v>
      </c>
      <c r="I33">
        <v>2</v>
      </c>
      <c r="J33">
        <v>0</v>
      </c>
      <c r="K33">
        <v>2</v>
      </c>
      <c r="L33">
        <v>12</v>
      </c>
      <c r="M33">
        <v>4</v>
      </c>
    </row>
    <row r="34" spans="1:13" ht="12.75">
      <c r="A34" s="14"/>
      <c r="B34" s="14" t="s">
        <v>18</v>
      </c>
      <c r="F34" s="14">
        <v>514.28</v>
      </c>
      <c r="G34">
        <v>282.12</v>
      </c>
      <c r="H34">
        <v>375.13</v>
      </c>
      <c r="I34">
        <v>1259.4000000000001</v>
      </c>
      <c r="J34">
        <v>1529.3</v>
      </c>
      <c r="K34">
        <v>506.37</v>
      </c>
      <c r="L34">
        <v>360.89</v>
      </c>
      <c r="M34">
        <v>892.86</v>
      </c>
    </row>
    <row r="35" spans="1:13" ht="12.75">
      <c r="A35" s="3"/>
      <c r="B35" s="16"/>
      <c r="F35" s="14"/>
    </row>
    <row r="36" spans="1:13" ht="12.75">
      <c r="A36" s="3" t="s">
        <v>32</v>
      </c>
      <c r="B36" s="16" t="s">
        <v>23</v>
      </c>
      <c r="F36" s="14">
        <v>3000</v>
      </c>
    </row>
    <row r="37" spans="1:13" ht="12.75">
      <c r="A37" s="14"/>
      <c r="B37" s="16" t="s">
        <v>24</v>
      </c>
      <c r="F37" s="14"/>
    </row>
    <row r="38" spans="1:13" ht="12.75">
      <c r="A38" s="14"/>
      <c r="B38" s="14" t="s">
        <v>26</v>
      </c>
      <c r="F38" s="14"/>
    </row>
    <row r="39" spans="1:13" ht="12.75">
      <c r="A39" s="14"/>
      <c r="B39" s="14" t="s">
        <v>27</v>
      </c>
      <c r="F39" s="14"/>
    </row>
    <row r="40" spans="1:13" ht="12.75">
      <c r="A40" s="14"/>
      <c r="B40" s="14" t="s">
        <v>5</v>
      </c>
      <c r="F40" s="14"/>
    </row>
    <row r="41" spans="1:13" ht="12.75">
      <c r="A41" s="14"/>
      <c r="B41" s="14" t="s">
        <v>33</v>
      </c>
      <c r="F41" s="14"/>
    </row>
    <row r="42" spans="1:13" ht="12.75">
      <c r="A42" s="14"/>
      <c r="B42" s="14" t="s">
        <v>18</v>
      </c>
      <c r="F42" s="14"/>
    </row>
    <row r="43" spans="1:13" ht="12.75">
      <c r="A43" s="14"/>
      <c r="B43" s="14"/>
      <c r="F43" s="14"/>
    </row>
    <row r="44" spans="1:13" ht="12.75">
      <c r="A44" s="14" t="s">
        <v>34</v>
      </c>
      <c r="B44" s="16" t="s">
        <v>23</v>
      </c>
      <c r="F44" s="14">
        <v>5000</v>
      </c>
      <c r="G44">
        <v>3000</v>
      </c>
      <c r="H44">
        <v>10000</v>
      </c>
      <c r="I44">
        <v>15000</v>
      </c>
      <c r="J44" s="19">
        <v>7000</v>
      </c>
      <c r="K44" s="19">
        <v>5000</v>
      </c>
      <c r="L44" s="19">
        <v>5000</v>
      </c>
    </row>
    <row r="45" spans="1:13" ht="12.75">
      <c r="A45" s="18" t="s">
        <v>35</v>
      </c>
      <c r="B45" s="16" t="s">
        <v>24</v>
      </c>
      <c r="F45">
        <v>4908.8500000000004</v>
      </c>
      <c r="G45">
        <v>2973.88</v>
      </c>
      <c r="H45">
        <v>8178.96</v>
      </c>
      <c r="I45">
        <v>4790.37</v>
      </c>
      <c r="J45">
        <v>5475.07</v>
      </c>
      <c r="K45">
        <v>4687.7</v>
      </c>
      <c r="L45">
        <v>4080.9</v>
      </c>
      <c r="M45">
        <v>4335.47</v>
      </c>
    </row>
    <row r="46" spans="1:13" ht="12.75">
      <c r="A46" s="14"/>
      <c r="B46" s="14" t="s">
        <v>26</v>
      </c>
      <c r="F46">
        <v>8218</v>
      </c>
      <c r="G46">
        <v>10316</v>
      </c>
      <c r="H46">
        <v>17222</v>
      </c>
      <c r="I46">
        <v>3030</v>
      </c>
      <c r="J46">
        <v>2855</v>
      </c>
      <c r="K46">
        <v>2044</v>
      </c>
      <c r="L46">
        <v>2260</v>
      </c>
      <c r="M46">
        <v>1650</v>
      </c>
    </row>
    <row r="47" spans="1:13" ht="12.75">
      <c r="A47" s="14"/>
      <c r="B47" s="14" t="s">
        <v>27</v>
      </c>
      <c r="F47" s="14">
        <v>0.6</v>
      </c>
      <c r="G47">
        <v>0.28999999999999998</v>
      </c>
      <c r="H47">
        <v>0.47</v>
      </c>
      <c r="I47">
        <v>1.58</v>
      </c>
      <c r="J47">
        <v>1.92</v>
      </c>
      <c r="K47">
        <v>2.29</v>
      </c>
      <c r="L47">
        <v>1.81</v>
      </c>
      <c r="M47">
        <v>2.63</v>
      </c>
    </row>
    <row r="48" spans="1:13" ht="12.75">
      <c r="A48" s="14"/>
      <c r="B48" s="14" t="s">
        <v>5</v>
      </c>
      <c r="F48" s="14">
        <v>137</v>
      </c>
      <c r="G48">
        <v>324</v>
      </c>
      <c r="H48">
        <v>1210</v>
      </c>
      <c r="I48">
        <v>289</v>
      </c>
      <c r="J48">
        <v>46</v>
      </c>
      <c r="K48">
        <v>44</v>
      </c>
      <c r="L48">
        <v>256</v>
      </c>
      <c r="M48">
        <v>168.69</v>
      </c>
    </row>
    <row r="49" spans="1:13" ht="12.75">
      <c r="A49" s="14"/>
      <c r="B49" s="14" t="s">
        <v>33</v>
      </c>
      <c r="F49" s="14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15</v>
      </c>
      <c r="M49">
        <v>14</v>
      </c>
    </row>
    <row r="50" spans="1:13" ht="12.75">
      <c r="A50" s="14"/>
      <c r="B50" s="14" t="s">
        <v>18</v>
      </c>
      <c r="F50" s="14">
        <v>35.83</v>
      </c>
      <c r="G50">
        <v>9.18</v>
      </c>
      <c r="H50">
        <v>6.76</v>
      </c>
      <c r="I50">
        <v>16.52</v>
      </c>
      <c r="J50">
        <v>119.02</v>
      </c>
      <c r="K50">
        <v>106.54</v>
      </c>
      <c r="L50">
        <v>15.94</v>
      </c>
      <c r="M50">
        <v>25.7</v>
      </c>
    </row>
    <row r="51" spans="1:13" ht="12.75">
      <c r="A51" s="14"/>
      <c r="B51" s="14"/>
      <c r="F51" s="14"/>
    </row>
    <row r="52" spans="1:13" ht="12.75">
      <c r="A52" s="5" t="s">
        <v>8</v>
      </c>
      <c r="B52" s="16" t="s">
        <v>23</v>
      </c>
      <c r="F52" s="14"/>
      <c r="H52">
        <v>10000</v>
      </c>
      <c r="I52">
        <v>4000</v>
      </c>
      <c r="J52">
        <v>4000</v>
      </c>
      <c r="L52">
        <v>4000</v>
      </c>
    </row>
    <row r="53" spans="1:13" ht="12.75">
      <c r="A53" s="14"/>
      <c r="B53" s="16" t="s">
        <v>24</v>
      </c>
      <c r="F53" s="14"/>
      <c r="H53">
        <v>7025.61</v>
      </c>
      <c r="I53">
        <v>4230.6400000000003</v>
      </c>
      <c r="J53">
        <v>3541.89</v>
      </c>
      <c r="L53">
        <v>3900.07</v>
      </c>
    </row>
    <row r="54" spans="1:13" ht="12.75">
      <c r="A54" s="14"/>
      <c r="B54" s="14" t="s">
        <v>26</v>
      </c>
      <c r="F54" s="14"/>
      <c r="H54">
        <v>4931</v>
      </c>
      <c r="I54">
        <v>680</v>
      </c>
      <c r="J54">
        <v>460</v>
      </c>
      <c r="L54">
        <v>1082</v>
      </c>
    </row>
    <row r="55" spans="1:13" ht="12.75">
      <c r="A55" s="14"/>
      <c r="B55" s="14" t="s">
        <v>27</v>
      </c>
      <c r="F55" s="14"/>
      <c r="H55">
        <v>1.42</v>
      </c>
      <c r="I55">
        <v>6.22</v>
      </c>
      <c r="J55">
        <v>7.7</v>
      </c>
      <c r="L55">
        <v>3.6</v>
      </c>
    </row>
    <row r="56" spans="1:13" ht="12.75">
      <c r="A56" s="14"/>
      <c r="B56" s="14" t="s">
        <v>5</v>
      </c>
      <c r="F56" s="14"/>
      <c r="H56">
        <v>0</v>
      </c>
      <c r="I56">
        <v>18</v>
      </c>
      <c r="J56">
        <v>0</v>
      </c>
      <c r="L56">
        <v>3</v>
      </c>
    </row>
    <row r="57" spans="1:13" ht="12.75">
      <c r="A57" s="14"/>
      <c r="B57" s="14" t="s">
        <v>36</v>
      </c>
      <c r="F57" s="14"/>
      <c r="H57">
        <v>5812</v>
      </c>
      <c r="I57">
        <v>3788</v>
      </c>
      <c r="J57">
        <v>2559</v>
      </c>
      <c r="L57">
        <v>3311</v>
      </c>
    </row>
    <row r="58" spans="1:13" ht="12.75">
      <c r="A58" s="14"/>
      <c r="B58" s="14" t="s">
        <v>37</v>
      </c>
      <c r="F58" s="14"/>
      <c r="H58">
        <v>0</v>
      </c>
      <c r="J58">
        <v>1.38</v>
      </c>
      <c r="L58">
        <v>1.18</v>
      </c>
    </row>
    <row r="59" spans="1:13" ht="12.75">
      <c r="A59" s="14"/>
      <c r="B59" s="14"/>
      <c r="F59" s="14"/>
    </row>
    <row r="60" spans="1:13" ht="12.75">
      <c r="A60" s="14" t="s">
        <v>38</v>
      </c>
      <c r="B60" s="16" t="s">
        <v>23</v>
      </c>
      <c r="F60" s="14">
        <v>5000</v>
      </c>
      <c r="G60">
        <v>2000</v>
      </c>
      <c r="M60">
        <v>4000</v>
      </c>
    </row>
    <row r="61" spans="1:13" ht="12.75">
      <c r="A61" s="18" t="s">
        <v>30</v>
      </c>
      <c r="B61" s="16" t="s">
        <v>24</v>
      </c>
      <c r="F61">
        <v>3000.7</v>
      </c>
      <c r="G61">
        <v>2000.53</v>
      </c>
      <c r="M61">
        <v>4827.09</v>
      </c>
    </row>
    <row r="62" spans="1:13" ht="12.75">
      <c r="B62" s="20" t="s">
        <v>36</v>
      </c>
      <c r="F62">
        <v>31472</v>
      </c>
      <c r="G62">
        <v>16574</v>
      </c>
      <c r="M62">
        <v>1894</v>
      </c>
    </row>
    <row r="63" spans="1:13" ht="12.75">
      <c r="A63" s="14"/>
      <c r="B63" s="20" t="s">
        <v>37</v>
      </c>
      <c r="F63" s="14">
        <v>0.1</v>
      </c>
      <c r="G63">
        <v>74.09</v>
      </c>
      <c r="M63">
        <v>2.5499999999999998</v>
      </c>
    </row>
    <row r="64" spans="1:13" ht="12.75">
      <c r="A64" s="14"/>
      <c r="B64" s="20"/>
      <c r="F64" s="14"/>
    </row>
    <row r="65" spans="1:13" ht="12.75">
      <c r="A65" s="2" t="s">
        <v>9</v>
      </c>
      <c r="B65" s="20"/>
      <c r="F65" s="14"/>
    </row>
    <row r="66" spans="1:13" ht="12.75">
      <c r="A66" s="3" t="s">
        <v>39</v>
      </c>
      <c r="B66" s="15" t="s">
        <v>23</v>
      </c>
      <c r="F66" s="14">
        <v>3000</v>
      </c>
      <c r="G66">
        <v>2000</v>
      </c>
      <c r="H66">
        <v>30000</v>
      </c>
      <c r="I66" s="21">
        <v>21000</v>
      </c>
      <c r="J66">
        <v>20000</v>
      </c>
      <c r="K66" s="1">
        <v>15000</v>
      </c>
      <c r="L66">
        <v>15000</v>
      </c>
      <c r="M66">
        <v>15000</v>
      </c>
    </row>
    <row r="67" spans="1:13" ht="12.75">
      <c r="A67" s="18" t="s">
        <v>40</v>
      </c>
      <c r="B67" s="15" t="s">
        <v>24</v>
      </c>
      <c r="F67">
        <v>2997.44</v>
      </c>
      <c r="G67">
        <v>1999.66</v>
      </c>
      <c r="H67">
        <v>29994.42</v>
      </c>
      <c r="I67" s="21">
        <v>20992.98</v>
      </c>
      <c r="J67">
        <v>19992.599999999999</v>
      </c>
      <c r="K67">
        <v>15300.21</v>
      </c>
      <c r="L67">
        <v>14982.47</v>
      </c>
      <c r="M67">
        <v>14996.51</v>
      </c>
    </row>
    <row r="68" spans="1:13" ht="12.75">
      <c r="A68" s="14"/>
      <c r="B68" s="14" t="s">
        <v>25</v>
      </c>
      <c r="F68">
        <v>12819</v>
      </c>
      <c r="G68">
        <v>41172</v>
      </c>
      <c r="H68">
        <v>791258</v>
      </c>
      <c r="I68" s="21">
        <v>347284</v>
      </c>
      <c r="J68">
        <v>82531</v>
      </c>
      <c r="K68">
        <v>92569</v>
      </c>
      <c r="L68">
        <v>54101</v>
      </c>
      <c r="M68">
        <v>48846</v>
      </c>
    </row>
    <row r="69" spans="1:13" ht="12.95" customHeight="1">
      <c r="A69" s="14"/>
      <c r="B69" t="s">
        <v>26</v>
      </c>
      <c r="F69" s="14">
        <v>583</v>
      </c>
      <c r="G69">
        <v>233</v>
      </c>
      <c r="H69">
        <v>7017</v>
      </c>
      <c r="I69" s="21" t="s">
        <v>41</v>
      </c>
      <c r="J69">
        <v>2520</v>
      </c>
      <c r="K69">
        <v>3790</v>
      </c>
      <c r="L69">
        <v>2748</v>
      </c>
      <c r="M69">
        <v>3038</v>
      </c>
    </row>
    <row r="70" spans="1:13" ht="12.75">
      <c r="A70" s="14"/>
      <c r="B70" s="15" t="s">
        <v>27</v>
      </c>
      <c r="F70" s="14">
        <v>5.14</v>
      </c>
      <c r="G70">
        <v>8.58</v>
      </c>
      <c r="H70">
        <v>4.2699999999999996</v>
      </c>
      <c r="I70" s="21">
        <v>6.88</v>
      </c>
      <c r="J70">
        <v>7.93</v>
      </c>
      <c r="K70">
        <v>4.04</v>
      </c>
      <c r="L70">
        <v>5.45</v>
      </c>
      <c r="M70">
        <v>77</v>
      </c>
    </row>
    <row r="71" spans="1:13" ht="12.75">
      <c r="A71" s="14"/>
      <c r="B71" s="14" t="s">
        <v>5</v>
      </c>
      <c r="F71" s="14">
        <v>53</v>
      </c>
      <c r="G71">
        <v>24</v>
      </c>
      <c r="H71">
        <v>176</v>
      </c>
      <c r="I71" s="21">
        <v>210</v>
      </c>
      <c r="J71">
        <v>305</v>
      </c>
      <c r="K71">
        <v>565</v>
      </c>
      <c r="L71">
        <v>399</v>
      </c>
      <c r="M71">
        <v>471</v>
      </c>
    </row>
    <row r="72" spans="1:13" ht="12.75">
      <c r="A72" s="14"/>
      <c r="B72" s="14" t="s">
        <v>18</v>
      </c>
      <c r="F72" s="14">
        <v>56.56</v>
      </c>
      <c r="G72">
        <v>83.32</v>
      </c>
      <c r="H72">
        <v>170.42</v>
      </c>
      <c r="I72" s="21">
        <v>99.97</v>
      </c>
      <c r="J72">
        <v>65.55</v>
      </c>
      <c r="K72">
        <v>27.08</v>
      </c>
      <c r="L72">
        <v>37.549999999999997</v>
      </c>
      <c r="M72">
        <v>31.84</v>
      </c>
    </row>
    <row r="73" spans="1:13" ht="12.75">
      <c r="A73" s="14"/>
      <c r="B73" s="20"/>
      <c r="F73" s="14"/>
      <c r="I73" s="21"/>
    </row>
    <row r="74" spans="1:13" ht="12.75">
      <c r="A74" s="3" t="s">
        <v>42</v>
      </c>
      <c r="B74" s="15" t="s">
        <v>23</v>
      </c>
      <c r="F74" s="14">
        <v>2000</v>
      </c>
      <c r="G74">
        <v>2000</v>
      </c>
      <c r="H74">
        <v>5000</v>
      </c>
      <c r="I74">
        <v>5000</v>
      </c>
      <c r="J74">
        <v>5000</v>
      </c>
      <c r="K74" s="1">
        <v>1000</v>
      </c>
      <c r="L74" s="1">
        <v>1000</v>
      </c>
      <c r="M74" s="1">
        <v>1000</v>
      </c>
    </row>
    <row r="75" spans="1:13" ht="12.75">
      <c r="A75" s="18" t="s">
        <v>40</v>
      </c>
      <c r="B75" s="15" t="s">
        <v>24</v>
      </c>
      <c r="F75">
        <v>1998.74</v>
      </c>
      <c r="G75">
        <v>2000</v>
      </c>
      <c r="H75">
        <v>4990.7</v>
      </c>
      <c r="I75">
        <v>4989.79</v>
      </c>
      <c r="J75">
        <v>4997.5</v>
      </c>
      <c r="K75">
        <v>991.9</v>
      </c>
      <c r="L75">
        <v>996.44</v>
      </c>
      <c r="M75">
        <v>995.89</v>
      </c>
    </row>
    <row r="76" spans="1:13" ht="12.75">
      <c r="B76" s="14" t="s">
        <v>25</v>
      </c>
      <c r="F76">
        <v>7037</v>
      </c>
      <c r="G76">
        <v>21590</v>
      </c>
      <c r="H76">
        <v>48570</v>
      </c>
      <c r="I76">
        <v>9791</v>
      </c>
      <c r="J76">
        <v>19091</v>
      </c>
      <c r="K76">
        <v>5642</v>
      </c>
      <c r="L76">
        <v>7209</v>
      </c>
      <c r="M76">
        <v>8069</v>
      </c>
    </row>
    <row r="77" spans="1:13" ht="12.75">
      <c r="A77" s="14"/>
      <c r="B77" t="s">
        <v>26</v>
      </c>
      <c r="F77" s="14">
        <v>255</v>
      </c>
      <c r="G77">
        <v>259</v>
      </c>
      <c r="H77">
        <v>389</v>
      </c>
      <c r="I77">
        <v>318</v>
      </c>
      <c r="J77">
        <v>934</v>
      </c>
      <c r="K77">
        <v>173</v>
      </c>
      <c r="L77">
        <v>277</v>
      </c>
      <c r="M77">
        <v>344</v>
      </c>
    </row>
    <row r="78" spans="1:13" ht="12.75">
      <c r="A78" s="14"/>
      <c r="B78" s="15" t="s">
        <v>27</v>
      </c>
      <c r="F78" s="14">
        <v>7.84</v>
      </c>
      <c r="G78">
        <v>7.72</v>
      </c>
      <c r="H78">
        <v>12.83</v>
      </c>
      <c r="I78">
        <v>15.69</v>
      </c>
      <c r="J78">
        <v>5.35</v>
      </c>
      <c r="K78">
        <v>5.73</v>
      </c>
      <c r="L78">
        <v>3.6</v>
      </c>
      <c r="M78">
        <v>2.9</v>
      </c>
    </row>
    <row r="79" spans="1:13" ht="12.75">
      <c r="A79" s="14"/>
      <c r="B79" s="14" t="s">
        <v>5</v>
      </c>
      <c r="F79" s="14">
        <v>22</v>
      </c>
      <c r="G79">
        <v>41</v>
      </c>
      <c r="H79">
        <v>72</v>
      </c>
      <c r="I79">
        <v>71</v>
      </c>
      <c r="J79">
        <v>137</v>
      </c>
      <c r="K79">
        <v>20</v>
      </c>
      <c r="L79">
        <v>33</v>
      </c>
      <c r="M79">
        <v>41</v>
      </c>
    </row>
    <row r="80" spans="1:13" ht="12.75">
      <c r="A80" s="14"/>
      <c r="B80" s="14" t="s">
        <v>18</v>
      </c>
      <c r="F80" s="14">
        <v>90.85</v>
      </c>
      <c r="G80">
        <v>48.78</v>
      </c>
      <c r="H80">
        <v>69.319999999999993</v>
      </c>
      <c r="I80">
        <v>70.28</v>
      </c>
      <c r="J80">
        <v>36.479999999999997</v>
      </c>
      <c r="K80">
        <v>49.6</v>
      </c>
      <c r="L80">
        <v>30.2</v>
      </c>
      <c r="M80">
        <v>24.29</v>
      </c>
    </row>
    <row r="81" spans="1:13" ht="12.75">
      <c r="A81" s="14"/>
      <c r="B81" s="20"/>
      <c r="F81" s="14"/>
    </row>
    <row r="82" spans="1:13" ht="12.75">
      <c r="A82" s="6" t="s">
        <v>43</v>
      </c>
      <c r="B82" s="16" t="s">
        <v>23</v>
      </c>
      <c r="F82" s="14">
        <v>5000</v>
      </c>
      <c r="J82" t="s">
        <v>44</v>
      </c>
    </row>
    <row r="83" spans="1:13" ht="12.75">
      <c r="A83" s="20"/>
      <c r="B83" s="16" t="s">
        <v>24</v>
      </c>
      <c r="F83">
        <v>3993.11</v>
      </c>
      <c r="J83" t="s">
        <v>44</v>
      </c>
    </row>
    <row r="84" spans="1:13" ht="12.75">
      <c r="A84" s="22"/>
      <c r="B84" s="20" t="s">
        <v>25</v>
      </c>
      <c r="F84">
        <v>25137</v>
      </c>
      <c r="J84" t="s">
        <v>44</v>
      </c>
    </row>
    <row r="85" spans="1:13" ht="12.75">
      <c r="A85" s="20"/>
      <c r="B85" s="22" t="s">
        <v>26</v>
      </c>
      <c r="F85">
        <v>6301</v>
      </c>
      <c r="J85" t="s">
        <v>44</v>
      </c>
    </row>
    <row r="86" spans="1:13" ht="12.75">
      <c r="A86" s="20"/>
      <c r="B86" s="16" t="s">
        <v>27</v>
      </c>
      <c r="F86" s="14">
        <v>0.63</v>
      </c>
      <c r="J86" t="s">
        <v>44</v>
      </c>
    </row>
    <row r="87" spans="1:13" ht="12.75">
      <c r="A87" s="20"/>
      <c r="B87" s="20" t="s">
        <v>45</v>
      </c>
      <c r="F87">
        <v>5769</v>
      </c>
      <c r="J87" t="s">
        <v>44</v>
      </c>
    </row>
    <row r="88" spans="1:13" ht="12.75">
      <c r="A88" s="20"/>
      <c r="B88" s="20" t="s">
        <v>46</v>
      </c>
      <c r="F88" s="14">
        <v>0.69</v>
      </c>
      <c r="J88" t="s">
        <v>44</v>
      </c>
    </row>
    <row r="89" spans="1:13" ht="12.75">
      <c r="A89" s="14"/>
      <c r="B89" s="20"/>
      <c r="F89" s="14"/>
    </row>
    <row r="90" spans="1:13" ht="12.95" customHeight="1">
      <c r="A90" s="3" t="s">
        <v>47</v>
      </c>
      <c r="B90" s="15" t="s">
        <v>23</v>
      </c>
      <c r="F90" s="14">
        <v>3000</v>
      </c>
      <c r="H90">
        <v>7500</v>
      </c>
      <c r="I90" s="21" t="s">
        <v>48</v>
      </c>
      <c r="J90">
        <v>15000</v>
      </c>
      <c r="K90" s="1">
        <v>30000</v>
      </c>
      <c r="L90">
        <v>10000</v>
      </c>
      <c r="M90">
        <v>10000</v>
      </c>
    </row>
    <row r="91" spans="1:13" ht="12.75">
      <c r="A91" s="23" t="s">
        <v>49</v>
      </c>
      <c r="B91" s="15" t="s">
        <v>24</v>
      </c>
      <c r="F91" s="14"/>
      <c r="H91">
        <v>7473.71</v>
      </c>
      <c r="I91">
        <v>19980.88</v>
      </c>
      <c r="J91">
        <v>14983.21</v>
      </c>
      <c r="K91">
        <v>31985.09</v>
      </c>
      <c r="L91">
        <v>9989.7800000000007</v>
      </c>
      <c r="M91">
        <v>9997.14</v>
      </c>
    </row>
    <row r="92" spans="1:13" ht="12.75">
      <c r="A92" s="14"/>
      <c r="B92" s="14" t="s">
        <v>25</v>
      </c>
      <c r="F92" s="14"/>
      <c r="H92">
        <v>16601</v>
      </c>
      <c r="I92">
        <v>20907</v>
      </c>
      <c r="J92">
        <v>23053</v>
      </c>
      <c r="K92">
        <v>45085</v>
      </c>
      <c r="L92">
        <v>14346</v>
      </c>
      <c r="M92">
        <v>21286</v>
      </c>
    </row>
    <row r="93" spans="1:13" ht="12.75">
      <c r="A93" s="14"/>
      <c r="B93" t="s">
        <v>26</v>
      </c>
      <c r="F93" s="14"/>
      <c r="H93">
        <v>749</v>
      </c>
      <c r="I93">
        <v>1201</v>
      </c>
      <c r="J93">
        <v>1442</v>
      </c>
      <c r="K93">
        <v>3501</v>
      </c>
      <c r="L93">
        <v>1239</v>
      </c>
      <c r="M93">
        <v>1895</v>
      </c>
    </row>
    <row r="94" spans="1:13" ht="12.75">
      <c r="A94" s="14"/>
      <c r="B94" s="15" t="s">
        <v>27</v>
      </c>
      <c r="F94" s="14"/>
      <c r="H94">
        <v>9.98</v>
      </c>
      <c r="I94">
        <v>16.64</v>
      </c>
      <c r="J94">
        <v>10.39</v>
      </c>
      <c r="K94">
        <v>9.14</v>
      </c>
      <c r="L94">
        <v>8.06</v>
      </c>
      <c r="M94">
        <v>5.28</v>
      </c>
    </row>
    <row r="95" spans="1:13" ht="12.75">
      <c r="A95" s="14"/>
      <c r="B95" s="14" t="s">
        <v>5</v>
      </c>
      <c r="F95" s="14"/>
      <c r="H95">
        <v>76</v>
      </c>
      <c r="I95">
        <v>130</v>
      </c>
      <c r="J95">
        <v>188</v>
      </c>
      <c r="K95">
        <v>357</v>
      </c>
      <c r="L95">
        <v>128</v>
      </c>
      <c r="M95">
        <v>252</v>
      </c>
    </row>
    <row r="96" spans="1:13" ht="12.75">
      <c r="A96" s="14"/>
      <c r="B96" s="14" t="s">
        <v>18</v>
      </c>
      <c r="F96" s="14"/>
      <c r="H96">
        <v>98.34</v>
      </c>
      <c r="I96">
        <v>153.69999999999999</v>
      </c>
      <c r="J96">
        <v>79.7</v>
      </c>
      <c r="K96">
        <v>89.6</v>
      </c>
      <c r="L96">
        <v>78.05</v>
      </c>
      <c r="M96">
        <v>39.67</v>
      </c>
    </row>
    <row r="97" spans="1:13" ht="12.75">
      <c r="A97" s="14"/>
      <c r="B97" s="14"/>
      <c r="F97" s="14"/>
    </row>
    <row r="98" spans="1:13" ht="12.75">
      <c r="A98" s="3" t="s">
        <v>50</v>
      </c>
      <c r="B98" s="24" t="s">
        <v>23</v>
      </c>
      <c r="F98" s="14"/>
      <c r="M98">
        <v>2500</v>
      </c>
    </row>
    <row r="99" spans="1:13" ht="12.75">
      <c r="A99" s="23"/>
      <c r="B99" s="24" t="s">
        <v>24</v>
      </c>
      <c r="F99" s="14"/>
      <c r="M99">
        <v>1613.78</v>
      </c>
    </row>
    <row r="100" spans="1:13" ht="12.75">
      <c r="A100" s="25"/>
      <c r="B100" s="25" t="s">
        <v>25</v>
      </c>
      <c r="F100" s="14"/>
      <c r="M100">
        <v>7531</v>
      </c>
    </row>
    <row r="101" spans="1:13" ht="12.75">
      <c r="A101" s="25"/>
      <c r="B101" t="s">
        <v>26</v>
      </c>
      <c r="F101" s="14"/>
      <c r="M101">
        <v>483</v>
      </c>
    </row>
    <row r="102" spans="1:13" ht="12.75">
      <c r="A102" s="25"/>
      <c r="B102" s="24" t="s">
        <v>27</v>
      </c>
      <c r="F102" s="14"/>
      <c r="M102">
        <v>3.34</v>
      </c>
    </row>
    <row r="103" spans="1:13" ht="12.75">
      <c r="A103" s="25"/>
      <c r="B103" s="25" t="s">
        <v>5</v>
      </c>
      <c r="F103" s="14"/>
      <c r="M103">
        <v>26</v>
      </c>
    </row>
    <row r="104" spans="1:13" ht="12.75">
      <c r="A104" s="25"/>
      <c r="B104" s="25" t="s">
        <v>18</v>
      </c>
      <c r="F104" s="14"/>
      <c r="M104">
        <v>62.07</v>
      </c>
    </row>
    <row r="105" spans="1:13" ht="12.75">
      <c r="A105" s="14"/>
      <c r="B105" s="14"/>
      <c r="F105" s="14"/>
    </row>
    <row r="106" spans="1:13" ht="12.75">
      <c r="A106" s="3" t="s">
        <v>51</v>
      </c>
      <c r="B106" s="24" t="s">
        <v>23</v>
      </c>
      <c r="F106" s="14"/>
      <c r="M106">
        <v>3386</v>
      </c>
    </row>
    <row r="107" spans="1:13" ht="12.75">
      <c r="A107" s="23"/>
      <c r="B107" s="24" t="s">
        <v>24</v>
      </c>
      <c r="F107" s="14"/>
      <c r="M107">
        <v>3375.79</v>
      </c>
    </row>
    <row r="108" spans="1:13" ht="12.75">
      <c r="A108" s="25"/>
      <c r="B108" s="25" t="s">
        <v>25</v>
      </c>
      <c r="F108" s="14"/>
      <c r="M108">
        <v>5430</v>
      </c>
    </row>
    <row r="109" spans="1:13" ht="12.75">
      <c r="A109" s="25"/>
      <c r="B109" t="s">
        <v>26</v>
      </c>
      <c r="F109" s="14"/>
      <c r="M109">
        <v>413</v>
      </c>
    </row>
    <row r="110" spans="1:13" ht="12.75">
      <c r="A110" s="25"/>
      <c r="B110" s="24" t="s">
        <v>27</v>
      </c>
      <c r="F110" s="14"/>
      <c r="M110">
        <v>8.17</v>
      </c>
    </row>
    <row r="111" spans="1:13" ht="12.75">
      <c r="A111" s="25"/>
      <c r="B111" s="25" t="s">
        <v>5</v>
      </c>
      <c r="F111" s="14"/>
      <c r="M111">
        <v>12</v>
      </c>
    </row>
    <row r="112" spans="1:13" ht="12.75">
      <c r="A112" s="25"/>
      <c r="B112" s="25" t="s">
        <v>18</v>
      </c>
      <c r="F112" s="14"/>
      <c r="M112">
        <v>281.32</v>
      </c>
    </row>
    <row r="113" spans="1:13" ht="12.75">
      <c r="A113" s="14"/>
      <c r="B113" s="14"/>
      <c r="F113" s="14"/>
    </row>
    <row r="114" spans="1:13" ht="12.95" customHeight="1">
      <c r="A114" s="3" t="s">
        <v>52</v>
      </c>
      <c r="B114" s="15" t="s">
        <v>23</v>
      </c>
      <c r="F114" s="14"/>
      <c r="I114" s="21"/>
      <c r="K114" s="1"/>
      <c r="L114">
        <v>10000</v>
      </c>
      <c r="M114">
        <v>11000</v>
      </c>
    </row>
    <row r="115" spans="1:13" ht="12.75">
      <c r="A115" s="23" t="s">
        <v>49</v>
      </c>
      <c r="B115" s="15" t="s">
        <v>24</v>
      </c>
      <c r="F115" s="14"/>
      <c r="L115">
        <v>9990.93</v>
      </c>
      <c r="M115">
        <v>10988.13</v>
      </c>
    </row>
    <row r="116" spans="1:13" ht="12.75">
      <c r="A116" s="14"/>
      <c r="B116" s="14" t="s">
        <v>25</v>
      </c>
      <c r="F116" s="14"/>
      <c r="L116">
        <v>28187</v>
      </c>
      <c r="M116">
        <v>24858</v>
      </c>
    </row>
    <row r="117" spans="1:13" ht="12.75">
      <c r="A117" s="14"/>
      <c r="B117" t="s">
        <v>26</v>
      </c>
      <c r="F117" s="14"/>
      <c r="L117">
        <v>1121</v>
      </c>
      <c r="M117">
        <v>985</v>
      </c>
    </row>
    <row r="118" spans="1:13" ht="12.75">
      <c r="A118" s="14"/>
      <c r="B118" s="15" t="s">
        <v>27</v>
      </c>
      <c r="F118" s="14"/>
      <c r="L118">
        <v>8.91</v>
      </c>
      <c r="M118">
        <v>11.16</v>
      </c>
    </row>
    <row r="119" spans="1:13" ht="12.75">
      <c r="A119" s="14"/>
      <c r="B119" s="14" t="s">
        <v>5</v>
      </c>
      <c r="F119" s="14"/>
      <c r="L119">
        <v>100</v>
      </c>
      <c r="M119">
        <v>89</v>
      </c>
    </row>
    <row r="120" spans="1:13" ht="12.75">
      <c r="A120" s="14"/>
      <c r="B120" s="14" t="s">
        <v>18</v>
      </c>
      <c r="F120" s="14"/>
      <c r="L120">
        <v>99.91</v>
      </c>
      <c r="M120">
        <v>123.46</v>
      </c>
    </row>
    <row r="121" spans="1:13" ht="12.75">
      <c r="A121" s="14"/>
      <c r="B121" s="14"/>
      <c r="F121" s="14"/>
    </row>
    <row r="122" spans="1:13" ht="12.75">
      <c r="A122" s="3" t="s">
        <v>53</v>
      </c>
      <c r="B122" s="15" t="s">
        <v>23</v>
      </c>
      <c r="F122" s="14"/>
      <c r="H122">
        <v>7500</v>
      </c>
      <c r="I122" s="21" t="s">
        <v>44</v>
      </c>
      <c r="J122" s="21" t="s">
        <v>44</v>
      </c>
    </row>
    <row r="123" spans="1:13" ht="12.75">
      <c r="A123" s="14"/>
      <c r="B123" s="15" t="s">
        <v>24</v>
      </c>
      <c r="F123" s="14"/>
      <c r="H123">
        <v>7466</v>
      </c>
      <c r="I123" s="21" t="s">
        <v>44</v>
      </c>
      <c r="J123" s="21" t="s">
        <v>44</v>
      </c>
    </row>
    <row r="124" spans="1:13" ht="12.75">
      <c r="A124" s="14"/>
      <c r="B124" s="14" t="s">
        <v>25</v>
      </c>
      <c r="F124" s="14"/>
      <c r="H124">
        <v>361671</v>
      </c>
      <c r="I124" s="21" t="s">
        <v>44</v>
      </c>
      <c r="J124" s="21" t="s">
        <v>44</v>
      </c>
    </row>
    <row r="125" spans="1:13" ht="12.75">
      <c r="A125" s="14"/>
      <c r="B125" t="s">
        <v>26</v>
      </c>
      <c r="F125" s="14"/>
      <c r="H125">
        <v>1925</v>
      </c>
      <c r="I125" s="21" t="s">
        <v>44</v>
      </c>
      <c r="J125" s="21" t="s">
        <v>44</v>
      </c>
    </row>
    <row r="126" spans="1:13" ht="12.75">
      <c r="A126" s="14"/>
      <c r="B126" s="15" t="s">
        <v>27</v>
      </c>
      <c r="F126" s="14"/>
      <c r="H126">
        <v>3.88</v>
      </c>
      <c r="I126" s="21" t="s">
        <v>44</v>
      </c>
      <c r="J126" s="21" t="s">
        <v>44</v>
      </c>
    </row>
    <row r="127" spans="1:13" ht="12.75">
      <c r="A127" s="14"/>
      <c r="B127" s="14" t="s">
        <v>5</v>
      </c>
      <c r="F127" s="14"/>
      <c r="H127">
        <v>106</v>
      </c>
      <c r="I127" s="21" t="s">
        <v>44</v>
      </c>
      <c r="J127" s="21" t="s">
        <v>44</v>
      </c>
    </row>
    <row r="128" spans="1:13" ht="12.75">
      <c r="A128" s="14"/>
      <c r="B128" s="14" t="s">
        <v>18</v>
      </c>
      <c r="F128" s="14"/>
      <c r="H128">
        <v>72.48</v>
      </c>
      <c r="I128" s="21" t="s">
        <v>44</v>
      </c>
      <c r="J128" s="21" t="s">
        <v>44</v>
      </c>
    </row>
    <row r="129" spans="1:13" ht="12.75">
      <c r="A129" s="14"/>
      <c r="B129" s="14"/>
      <c r="F129" s="14"/>
    </row>
    <row r="130" spans="1:13" ht="12.75">
      <c r="A130" s="24" t="s">
        <v>54</v>
      </c>
      <c r="B130" s="24" t="s">
        <v>23</v>
      </c>
      <c r="F130" s="14"/>
      <c r="G130">
        <v>3000</v>
      </c>
      <c r="H130">
        <v>1000</v>
      </c>
      <c r="I130">
        <v>1000</v>
      </c>
      <c r="J130" s="1">
        <v>3500</v>
      </c>
      <c r="K130" s="1">
        <v>3500</v>
      </c>
      <c r="L130" s="1">
        <v>3500</v>
      </c>
    </row>
    <row r="131" spans="1:13" ht="12.75">
      <c r="A131" s="24"/>
      <c r="B131" s="24" t="s">
        <v>24</v>
      </c>
      <c r="F131" s="14"/>
      <c r="G131">
        <v>2999.24</v>
      </c>
      <c r="H131">
        <v>999.05</v>
      </c>
      <c r="I131" s="21" t="s">
        <v>44</v>
      </c>
      <c r="J131">
        <v>3500</v>
      </c>
      <c r="K131">
        <v>3499.96</v>
      </c>
      <c r="L131">
        <v>3495.98</v>
      </c>
    </row>
    <row r="132" spans="1:13" ht="12.75">
      <c r="A132" s="24"/>
      <c r="B132" s="24" t="s">
        <v>25</v>
      </c>
      <c r="F132" s="14"/>
      <c r="G132">
        <v>100198</v>
      </c>
      <c r="H132">
        <v>32290</v>
      </c>
      <c r="I132" s="21" t="s">
        <v>44</v>
      </c>
      <c r="J132">
        <v>290390</v>
      </c>
      <c r="K132">
        <v>161131</v>
      </c>
      <c r="L132">
        <v>124011</v>
      </c>
    </row>
    <row r="133" spans="1:13" ht="12.75">
      <c r="A133" s="24"/>
      <c r="B133" s="24" t="s">
        <v>26</v>
      </c>
      <c r="F133" s="14"/>
      <c r="G133">
        <v>2802</v>
      </c>
      <c r="H133">
        <v>926</v>
      </c>
      <c r="I133" s="21" t="s">
        <v>44</v>
      </c>
      <c r="J133">
        <v>3482</v>
      </c>
      <c r="K133">
        <v>3133</v>
      </c>
      <c r="L133">
        <v>4682</v>
      </c>
    </row>
    <row r="134" spans="1:13" ht="12.75">
      <c r="A134" s="24"/>
      <c r="B134" s="24" t="s">
        <v>27</v>
      </c>
      <c r="F134" s="14"/>
      <c r="G134">
        <v>1.07</v>
      </c>
      <c r="H134">
        <v>1.08</v>
      </c>
      <c r="I134" s="21" t="s">
        <v>44</v>
      </c>
      <c r="J134">
        <v>1.01</v>
      </c>
      <c r="K134">
        <v>1.1200000000000001</v>
      </c>
      <c r="L134">
        <v>0.75</v>
      </c>
    </row>
    <row r="135" spans="1:13" ht="12.75">
      <c r="A135" s="24"/>
      <c r="B135" s="24" t="s">
        <v>55</v>
      </c>
      <c r="F135" s="14"/>
      <c r="G135">
        <v>2761</v>
      </c>
      <c r="H135">
        <v>961</v>
      </c>
      <c r="I135" s="21" t="s">
        <v>44</v>
      </c>
      <c r="J135">
        <v>3375</v>
      </c>
      <c r="K135">
        <v>2935</v>
      </c>
      <c r="L135">
        <v>4535</v>
      </c>
    </row>
    <row r="136" spans="1:13" ht="12.75">
      <c r="A136" s="26"/>
      <c r="B136" s="27"/>
      <c r="F136" s="14"/>
    </row>
    <row r="137" spans="1:13" ht="12.75">
      <c r="A137" s="24" t="s">
        <v>56</v>
      </c>
      <c r="B137" s="24" t="s">
        <v>23</v>
      </c>
      <c r="F137" s="14"/>
      <c r="G137">
        <v>2000</v>
      </c>
      <c r="H137">
        <v>1000</v>
      </c>
      <c r="I137">
        <v>1000</v>
      </c>
      <c r="J137">
        <v>1500</v>
      </c>
      <c r="K137">
        <v>1500</v>
      </c>
      <c r="L137" s="1">
        <v>1500</v>
      </c>
    </row>
    <row r="138" spans="1:13" ht="12.75">
      <c r="A138" s="24"/>
      <c r="B138" s="24" t="s">
        <v>24</v>
      </c>
      <c r="F138" s="14"/>
      <c r="G138">
        <v>1999.22</v>
      </c>
      <c r="H138">
        <v>999.86</v>
      </c>
      <c r="I138" s="21" t="s">
        <v>44</v>
      </c>
      <c r="J138">
        <v>1500</v>
      </c>
      <c r="K138">
        <v>1498.97</v>
      </c>
      <c r="L138">
        <v>1497.31</v>
      </c>
    </row>
    <row r="139" spans="1:13" ht="12.75">
      <c r="A139" s="24"/>
      <c r="B139" s="24" t="s">
        <v>25</v>
      </c>
      <c r="F139" s="14"/>
      <c r="G139">
        <v>65071</v>
      </c>
      <c r="H139">
        <v>14608</v>
      </c>
      <c r="I139" s="21" t="s">
        <v>44</v>
      </c>
      <c r="J139">
        <v>31736</v>
      </c>
      <c r="K139">
        <v>21957</v>
      </c>
      <c r="L139">
        <v>57877</v>
      </c>
    </row>
    <row r="140" spans="1:13" ht="12.75">
      <c r="A140" s="24"/>
      <c r="B140" s="24" t="s">
        <v>26</v>
      </c>
      <c r="F140" s="14"/>
      <c r="G140">
        <v>1184</v>
      </c>
      <c r="H140">
        <v>354</v>
      </c>
      <c r="I140" s="21" t="s">
        <v>44</v>
      </c>
      <c r="J140">
        <v>726</v>
      </c>
      <c r="K140">
        <v>731</v>
      </c>
      <c r="L140">
        <v>1892</v>
      </c>
    </row>
    <row r="141" spans="1:13" ht="12.75">
      <c r="A141" s="24"/>
      <c r="B141" s="24" t="s">
        <v>27</v>
      </c>
      <c r="F141" s="14"/>
      <c r="G141">
        <v>1.69</v>
      </c>
      <c r="H141">
        <v>2.82</v>
      </c>
      <c r="I141" s="21" t="s">
        <v>44</v>
      </c>
      <c r="J141">
        <v>2.0699999999999998</v>
      </c>
      <c r="K141">
        <v>2.0499999999999998</v>
      </c>
      <c r="L141">
        <v>0.79</v>
      </c>
    </row>
    <row r="142" spans="1:13" ht="12.75">
      <c r="A142" s="24"/>
      <c r="B142" s="24" t="s">
        <v>57</v>
      </c>
      <c r="F142" s="14"/>
      <c r="G142">
        <v>547</v>
      </c>
      <c r="H142">
        <v>249</v>
      </c>
      <c r="I142" s="21" t="s">
        <v>44</v>
      </c>
      <c r="J142">
        <v>567</v>
      </c>
      <c r="K142">
        <v>538</v>
      </c>
      <c r="L142">
        <v>2240</v>
      </c>
    </row>
    <row r="143" spans="1:13" ht="12.75">
      <c r="A143" s="14"/>
      <c r="B143" s="16"/>
      <c r="F143" s="14"/>
    </row>
    <row r="144" spans="1:13" s="29" customFormat="1" ht="12.75">
      <c r="A144" s="28" t="s">
        <v>58</v>
      </c>
      <c r="F144" s="28">
        <f>SUM(F91,F83,F75,F67,F61,F45,F37,F29,F20,F12,F4)</f>
        <v>27555.910000000003</v>
      </c>
      <c r="G144" s="28">
        <f>SUM(G75,G67,G61,G45,G29)</f>
        <v>12077.43</v>
      </c>
      <c r="H144" s="28">
        <f>SUM(H123,H91,H75,H67,H53,H45,H29)</f>
        <v>74507.62</v>
      </c>
      <c r="I144" s="28">
        <f>SUM(I123,I91,I75,I67,I53,I45,I29)</f>
        <v>73678.62</v>
      </c>
      <c r="J144" s="28">
        <f>SUM(J123,J91,J75,J67,J53,J45,J29)</f>
        <v>61224.63</v>
      </c>
      <c r="K144" s="28">
        <f>SUM(K123,K91,K75,K67,K53,K45,K29)</f>
        <v>62079.489999999991</v>
      </c>
      <c r="L144" s="28">
        <f>SUM(L123,L91,L75,L115,L67,L45,L29)</f>
        <v>48336.83</v>
      </c>
      <c r="M144" s="28">
        <f>SUM(M123,M91,M75,M115,M67,M45,M29,M107,M99)</f>
        <v>54338.439999999995</v>
      </c>
    </row>
    <row r="147" spans="1:12" ht="12.75">
      <c r="A147" s="8" t="s">
        <v>10</v>
      </c>
    </row>
    <row r="148" spans="1:12" ht="12.75">
      <c r="A148" s="13" t="s">
        <v>1</v>
      </c>
      <c r="B148" s="14"/>
    </row>
    <row r="149" spans="1:12" ht="12.75">
      <c r="A149" s="14" t="s">
        <v>59</v>
      </c>
      <c r="B149" s="15" t="s">
        <v>23</v>
      </c>
      <c r="C149">
        <v>4000</v>
      </c>
      <c r="D149">
        <v>5000</v>
      </c>
      <c r="E149">
        <v>6000</v>
      </c>
      <c r="F149" s="14">
        <v>4500</v>
      </c>
      <c r="G149">
        <v>4500</v>
      </c>
      <c r="H149">
        <v>5000</v>
      </c>
      <c r="I149">
        <v>5000</v>
      </c>
      <c r="J149">
        <v>5000</v>
      </c>
      <c r="K149">
        <v>5000</v>
      </c>
      <c r="L149">
        <v>4000</v>
      </c>
    </row>
    <row r="150" spans="1:12" ht="12.75">
      <c r="A150" s="14"/>
      <c r="B150" s="15" t="s">
        <v>24</v>
      </c>
      <c r="C150">
        <v>996.52</v>
      </c>
      <c r="D150">
        <v>6000</v>
      </c>
      <c r="E150">
        <v>3000.44</v>
      </c>
      <c r="F150">
        <v>3989.1</v>
      </c>
      <c r="G150">
        <v>4000</v>
      </c>
      <c r="H150">
        <v>4500</v>
      </c>
      <c r="I150">
        <v>3000</v>
      </c>
      <c r="J150">
        <v>0</v>
      </c>
      <c r="K150">
        <v>4000</v>
      </c>
    </row>
    <row r="151" spans="1:12" ht="12.75">
      <c r="F151" s="14"/>
    </row>
    <row r="152" spans="1:12" ht="12.75">
      <c r="A152" s="13" t="s">
        <v>13</v>
      </c>
      <c r="B152" s="14"/>
      <c r="F152" s="14"/>
    </row>
    <row r="153" spans="1:12" ht="12.75">
      <c r="A153" s="14" t="s">
        <v>59</v>
      </c>
      <c r="B153" s="15" t="s">
        <v>23</v>
      </c>
      <c r="D153">
        <v>1000</v>
      </c>
      <c r="E153">
        <v>1200</v>
      </c>
      <c r="F153">
        <v>1200</v>
      </c>
      <c r="G153">
        <v>1200</v>
      </c>
      <c r="H153">
        <v>1000</v>
      </c>
      <c r="I153">
        <v>1000</v>
      </c>
      <c r="J153">
        <v>1000</v>
      </c>
      <c r="K153">
        <v>1000</v>
      </c>
      <c r="L153">
        <v>1000</v>
      </c>
    </row>
    <row r="154" spans="1:12" ht="12.75">
      <c r="A154" s="14"/>
      <c r="B154" s="15" t="s">
        <v>24</v>
      </c>
      <c r="D154">
        <v>1393.95</v>
      </c>
      <c r="E154">
        <v>697.28</v>
      </c>
      <c r="F154" s="14">
        <v>992.83</v>
      </c>
      <c r="G154">
        <v>890.2</v>
      </c>
      <c r="H154">
        <v>887.52</v>
      </c>
      <c r="I154">
        <v>841.86</v>
      </c>
      <c r="J154">
        <v>392.63</v>
      </c>
      <c r="K154">
        <v>691.46</v>
      </c>
      <c r="L154">
        <v>592.89</v>
      </c>
    </row>
    <row r="155" spans="1:12" ht="12.75">
      <c r="F155" s="14"/>
    </row>
    <row r="156" spans="1:12" ht="12.75">
      <c r="A156" s="13" t="s">
        <v>60</v>
      </c>
      <c r="B156" s="14"/>
      <c r="F156" s="14"/>
    </row>
    <row r="157" spans="1:12" ht="12.75">
      <c r="A157" s="14" t="s">
        <v>59</v>
      </c>
      <c r="B157" s="15" t="s">
        <v>23</v>
      </c>
      <c r="D157">
        <v>1000</v>
      </c>
      <c r="E157">
        <v>1200</v>
      </c>
      <c r="F157">
        <v>1200</v>
      </c>
      <c r="G157">
        <v>1200</v>
      </c>
      <c r="H157">
        <v>1000</v>
      </c>
      <c r="I157">
        <v>1000</v>
      </c>
      <c r="J157">
        <v>1000</v>
      </c>
      <c r="K157">
        <v>1000</v>
      </c>
      <c r="L157">
        <v>1000</v>
      </c>
    </row>
    <row r="158" spans="1:12" ht="12.75">
      <c r="A158" s="14"/>
      <c r="B158" s="15" t="s">
        <v>24</v>
      </c>
      <c r="D158">
        <v>989.44</v>
      </c>
      <c r="E158">
        <v>697.45</v>
      </c>
      <c r="F158" s="14">
        <v>990.89</v>
      </c>
      <c r="G158">
        <v>794.44</v>
      </c>
      <c r="H158">
        <v>783.74</v>
      </c>
      <c r="I158">
        <v>950.68</v>
      </c>
      <c r="J158">
        <v>393.26</v>
      </c>
      <c r="K158">
        <v>790.06</v>
      </c>
      <c r="L158">
        <v>591.92999999999995</v>
      </c>
    </row>
    <row r="159" spans="1:12" ht="12.75">
      <c r="F159" s="14"/>
    </row>
    <row r="160" spans="1:12" ht="12.75">
      <c r="A160" s="14" t="s">
        <v>61</v>
      </c>
      <c r="B160" s="15" t="s">
        <v>23</v>
      </c>
      <c r="F160">
        <v>2000</v>
      </c>
      <c r="G160">
        <v>2000</v>
      </c>
      <c r="H160">
        <v>1000</v>
      </c>
      <c r="I160">
        <v>1000</v>
      </c>
      <c r="J160">
        <v>1500</v>
      </c>
      <c r="K160">
        <v>1500</v>
      </c>
      <c r="L160">
        <v>1500</v>
      </c>
    </row>
    <row r="161" spans="1:13" ht="12.75">
      <c r="A161" s="14"/>
      <c r="B161" s="15" t="s">
        <v>24</v>
      </c>
      <c r="F161">
        <v>1999.99</v>
      </c>
      <c r="G161">
        <v>1999.22</v>
      </c>
      <c r="H161">
        <v>999.86</v>
      </c>
      <c r="I161">
        <v>0</v>
      </c>
      <c r="J161">
        <v>1500</v>
      </c>
      <c r="K161">
        <v>1498.97</v>
      </c>
      <c r="L161">
        <v>1497.31</v>
      </c>
    </row>
    <row r="163" spans="1:13" ht="12.75">
      <c r="A163" t="s">
        <v>12</v>
      </c>
      <c r="B163" s="15" t="s">
        <v>23</v>
      </c>
      <c r="G163">
        <v>3000</v>
      </c>
      <c r="H163">
        <v>1000</v>
      </c>
      <c r="I163">
        <v>1000</v>
      </c>
      <c r="J163">
        <v>3500</v>
      </c>
      <c r="K163">
        <v>3500</v>
      </c>
      <c r="L163">
        <v>3500</v>
      </c>
    </row>
    <row r="164" spans="1:13" ht="12.75">
      <c r="B164" s="15" t="s">
        <v>24</v>
      </c>
      <c r="G164">
        <v>2999.24</v>
      </c>
      <c r="H164">
        <v>999.05</v>
      </c>
      <c r="I164">
        <v>0</v>
      </c>
      <c r="J164">
        <v>3500</v>
      </c>
      <c r="K164">
        <v>3499.96</v>
      </c>
      <c r="L164">
        <v>3495.98</v>
      </c>
    </row>
    <row r="165" spans="1:13" ht="12.75">
      <c r="B165" s="15"/>
    </row>
    <row r="166" spans="1:13" ht="12.75">
      <c r="A166" s="13" t="s">
        <v>7</v>
      </c>
      <c r="L166" s="8"/>
    </row>
    <row r="167" spans="1:13" ht="12.75">
      <c r="A167" s="14" t="s">
        <v>38</v>
      </c>
      <c r="B167" s="16" t="s">
        <v>23</v>
      </c>
      <c r="F167" s="14"/>
      <c r="H167">
        <v>1000</v>
      </c>
      <c r="I167">
        <v>1000</v>
      </c>
      <c r="L167">
        <v>4000</v>
      </c>
    </row>
    <row r="168" spans="1:13" ht="12.75">
      <c r="A168" s="14"/>
      <c r="B168" s="16" t="s">
        <v>24</v>
      </c>
      <c r="H168">
        <v>996.93</v>
      </c>
      <c r="I168">
        <v>0</v>
      </c>
      <c r="L168">
        <v>3900.07</v>
      </c>
    </row>
    <row r="169" spans="1:13" ht="12.75">
      <c r="B169" s="20" t="s">
        <v>36</v>
      </c>
      <c r="H169">
        <v>6834</v>
      </c>
      <c r="L169">
        <v>3311</v>
      </c>
    </row>
    <row r="170" spans="1:13" ht="12.75">
      <c r="A170" s="14"/>
      <c r="B170" s="20" t="s">
        <v>37</v>
      </c>
      <c r="F170" s="14"/>
      <c r="H170">
        <v>0.17</v>
      </c>
      <c r="L170">
        <v>1.18</v>
      </c>
    </row>
    <row r="171" spans="1:13" ht="12.75">
      <c r="A171" s="14"/>
    </row>
    <row r="172" spans="1:13" s="29" customFormat="1" ht="12.75">
      <c r="A172" s="28" t="s">
        <v>62</v>
      </c>
      <c r="C172" s="28">
        <f>SUM(C158,C161,C154,C150)</f>
        <v>996.52</v>
      </c>
      <c r="D172" s="28">
        <f>SUM(D158,D161,D154,D150)</f>
        <v>8383.39</v>
      </c>
      <c r="E172" s="28">
        <f>SUM(E158,E161,E154,E150)</f>
        <v>4395.17</v>
      </c>
      <c r="F172" s="28">
        <f>SUM(F164,F161,F158,F154,F150)</f>
        <v>7972.8099999999995</v>
      </c>
      <c r="G172" s="28">
        <f>SUM(G164,G161,G158,G154,G150)</f>
        <v>10683.099999999999</v>
      </c>
      <c r="H172" s="28">
        <f>SUM(H168,H164,H161,H158,H154,H150)</f>
        <v>9167.1</v>
      </c>
      <c r="I172" s="28">
        <f>SUM(I168,I164,I161,I158,I154,I150)</f>
        <v>4792.54</v>
      </c>
      <c r="J172" s="28">
        <f>SUM(J168,J164,J161,J158,J154,J150)</f>
        <v>5785.89</v>
      </c>
      <c r="K172" s="28">
        <f>SUM(K168,K164,K161,K158,K154,K150)</f>
        <v>10480.450000000001</v>
      </c>
      <c r="L172" s="28">
        <f>SUM(L168,L164,L161,L158,L154,L150)</f>
        <v>10078.18</v>
      </c>
    </row>
    <row r="175" spans="1:13" ht="12.75">
      <c r="A175" s="4" t="s">
        <v>52</v>
      </c>
    </row>
    <row r="176" spans="1:13" ht="12.75">
      <c r="A176" s="25" t="s">
        <v>63</v>
      </c>
      <c r="B176" s="15" t="s">
        <v>23</v>
      </c>
      <c r="K176" s="8"/>
      <c r="M176">
        <v>2500</v>
      </c>
    </row>
    <row r="177" spans="1:13" ht="12.75">
      <c r="A177" s="14"/>
      <c r="B177" s="15" t="s">
        <v>24</v>
      </c>
      <c r="M177">
        <v>2490.6999999999998</v>
      </c>
    </row>
    <row r="178" spans="1:13" ht="12.75">
      <c r="A178" s="14"/>
      <c r="B178" s="14" t="s">
        <v>25</v>
      </c>
      <c r="M178">
        <v>6229</v>
      </c>
    </row>
    <row r="179" spans="1:13" ht="12.75">
      <c r="A179" s="14"/>
      <c r="B179" t="s">
        <v>26</v>
      </c>
      <c r="M179">
        <v>263</v>
      </c>
    </row>
    <row r="180" spans="1:13" ht="12.75">
      <c r="A180" s="14"/>
      <c r="B180" s="15" t="s">
        <v>27</v>
      </c>
      <c r="M180">
        <v>9.4700000000000006</v>
      </c>
    </row>
    <row r="181" spans="1:13" ht="12.75">
      <c r="A181" s="14"/>
      <c r="B181" s="14" t="s">
        <v>5</v>
      </c>
      <c r="M181">
        <v>31</v>
      </c>
    </row>
    <row r="182" spans="1:13" ht="12.75">
      <c r="B182" s="14" t="s">
        <v>18</v>
      </c>
      <c r="M182">
        <v>80.349999999999994</v>
      </c>
    </row>
    <row r="184" spans="1:13" ht="12.75">
      <c r="A184" s="25" t="s">
        <v>64</v>
      </c>
      <c r="B184" s="15" t="s">
        <v>23</v>
      </c>
      <c r="M184">
        <v>2000</v>
      </c>
    </row>
    <row r="185" spans="1:13" ht="12.75">
      <c r="A185" s="14"/>
      <c r="B185" s="15" t="s">
        <v>24</v>
      </c>
      <c r="M185" s="21">
        <v>2000</v>
      </c>
    </row>
    <row r="186" spans="1:13" ht="25.5">
      <c r="A186" s="14"/>
      <c r="B186" s="14" t="s">
        <v>25</v>
      </c>
      <c r="M186" s="30" t="s">
        <v>65</v>
      </c>
    </row>
    <row r="187" spans="1:13" ht="12.75">
      <c r="A187" s="14"/>
      <c r="B187" t="s">
        <v>26</v>
      </c>
      <c r="M187" s="21">
        <v>130</v>
      </c>
    </row>
    <row r="188" spans="1:13" ht="25.5">
      <c r="A188" s="14"/>
      <c r="B188" s="15" t="s">
        <v>27</v>
      </c>
      <c r="M188" s="30" t="s">
        <v>66</v>
      </c>
    </row>
    <row r="189" spans="1:13" ht="12.75">
      <c r="A189" s="14"/>
      <c r="B189" s="14" t="s">
        <v>5</v>
      </c>
      <c r="M189" s="21">
        <v>14</v>
      </c>
    </row>
    <row r="190" spans="1:13" ht="12.75">
      <c r="B190" s="14" t="s">
        <v>18</v>
      </c>
      <c r="M190" s="21">
        <v>142.86000000000001</v>
      </c>
    </row>
    <row r="192" spans="1:13" ht="12.75">
      <c r="A192" s="25" t="s">
        <v>67</v>
      </c>
      <c r="B192" s="15" t="s">
        <v>23</v>
      </c>
      <c r="M192">
        <v>2000</v>
      </c>
    </row>
    <row r="193" spans="1:13" ht="12.75">
      <c r="A193" s="14"/>
      <c r="B193" s="15" t="s">
        <v>24</v>
      </c>
      <c r="M193">
        <v>1999.19</v>
      </c>
    </row>
    <row r="194" spans="1:13" ht="12.75">
      <c r="A194" s="14"/>
      <c r="B194" s="14" t="s">
        <v>25</v>
      </c>
      <c r="M194">
        <v>5172</v>
      </c>
    </row>
    <row r="195" spans="1:13" ht="12.75">
      <c r="A195" s="14"/>
      <c r="B195" t="s">
        <v>26</v>
      </c>
      <c r="M195" s="21">
        <v>177</v>
      </c>
    </row>
    <row r="196" spans="1:13" ht="25.5">
      <c r="A196" s="14"/>
      <c r="B196" s="15" t="s">
        <v>27</v>
      </c>
      <c r="M196" s="30" t="s">
        <v>68</v>
      </c>
    </row>
    <row r="197" spans="1:13" ht="12.75">
      <c r="A197" s="14"/>
      <c r="B197" s="14" t="s">
        <v>5</v>
      </c>
      <c r="M197" s="21">
        <v>14</v>
      </c>
    </row>
    <row r="198" spans="1:13" ht="12.75">
      <c r="B198" s="14" t="s">
        <v>18</v>
      </c>
      <c r="K198" s="8"/>
      <c r="M198" s="21">
        <v>142.80000000000001</v>
      </c>
    </row>
    <row r="200" spans="1:13" ht="12.75">
      <c r="A200" s="25" t="s">
        <v>69</v>
      </c>
      <c r="B200" s="15" t="s">
        <v>23</v>
      </c>
      <c r="M200">
        <v>2500</v>
      </c>
    </row>
    <row r="201" spans="1:13" ht="12.75">
      <c r="A201" s="14"/>
      <c r="B201" s="15" t="s">
        <v>24</v>
      </c>
      <c r="M201">
        <v>2498.4499999999998</v>
      </c>
    </row>
    <row r="202" spans="1:13" ht="12.75">
      <c r="A202" s="14"/>
      <c r="B202" s="14" t="s">
        <v>25</v>
      </c>
      <c r="M202">
        <v>7561</v>
      </c>
    </row>
    <row r="203" spans="1:13" ht="12.75">
      <c r="A203" s="14"/>
      <c r="B203" t="s">
        <v>26</v>
      </c>
      <c r="M203">
        <v>327</v>
      </c>
    </row>
    <row r="204" spans="1:13" ht="12.75">
      <c r="A204" s="14"/>
      <c r="B204" s="15" t="s">
        <v>27</v>
      </c>
      <c r="M204">
        <v>7.64</v>
      </c>
    </row>
    <row r="205" spans="1:13" ht="12.75">
      <c r="A205" s="14"/>
      <c r="B205" s="14" t="s">
        <v>5</v>
      </c>
      <c r="M205">
        <v>22</v>
      </c>
    </row>
    <row r="206" spans="1:13" ht="12.75">
      <c r="B206" s="14" t="s">
        <v>18</v>
      </c>
      <c r="M206">
        <v>113.57</v>
      </c>
    </row>
    <row r="208" spans="1:13" ht="12.75">
      <c r="A208" s="25" t="s">
        <v>70</v>
      </c>
      <c r="B208" s="15" t="s">
        <v>23</v>
      </c>
      <c r="M208">
        <v>2000</v>
      </c>
    </row>
    <row r="209" spans="1:13" ht="12.75">
      <c r="A209" s="14"/>
      <c r="B209" s="15" t="s">
        <v>24</v>
      </c>
      <c r="M209" s="21">
        <v>1999.79</v>
      </c>
    </row>
    <row r="210" spans="1:13" ht="25.5">
      <c r="A210" s="14"/>
      <c r="B210" s="14" t="s">
        <v>25</v>
      </c>
      <c r="M210" s="30" t="s">
        <v>71</v>
      </c>
    </row>
    <row r="211" spans="1:13" ht="12.75">
      <c r="A211" s="14"/>
      <c r="B211" t="s">
        <v>26</v>
      </c>
      <c r="M211" s="21">
        <v>88</v>
      </c>
    </row>
    <row r="212" spans="1:13" ht="12.75">
      <c r="A212" s="14"/>
      <c r="B212" s="15" t="s">
        <v>27</v>
      </c>
      <c r="M212" s="21">
        <v>22.72</v>
      </c>
    </row>
    <row r="213" spans="1:13" ht="12.75">
      <c r="A213" s="14"/>
      <c r="B213" s="14" t="s">
        <v>5</v>
      </c>
      <c r="M213" s="21">
        <v>8</v>
      </c>
    </row>
    <row r="214" spans="1:13" ht="12.75">
      <c r="B214" s="14" t="s">
        <v>18</v>
      </c>
      <c r="M214" s="21">
        <v>249.97</v>
      </c>
    </row>
    <row r="215" spans="1:13" ht="12.75">
      <c r="M215" s="21"/>
    </row>
    <row r="216" spans="1:13" ht="12.75">
      <c r="M216" s="2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tabSelected="1" workbookViewId="0">
      <selection activeCell="B21" sqref="B21"/>
    </sheetView>
  </sheetViews>
  <sheetFormatPr defaultRowHeight="14.1" customHeight="1"/>
  <cols>
    <col min="1" max="1" width="35"/>
    <col min="2" max="2" width="30.7109375"/>
    <col min="3" max="3" width="40.5703125"/>
    <col min="4" max="4" width="34.140625"/>
    <col min="5" max="5" width="43"/>
    <col min="6" max="2048" width="14.28515625"/>
  </cols>
  <sheetData>
    <row r="1" spans="1:5" s="8" customFormat="1">
      <c r="A1" s="8" t="s">
        <v>84</v>
      </c>
      <c r="B1" s="8" t="s">
        <v>85</v>
      </c>
      <c r="C1" s="8" t="s">
        <v>15</v>
      </c>
      <c r="D1" s="8" t="s">
        <v>17</v>
      </c>
      <c r="E1" s="8" t="s">
        <v>20</v>
      </c>
    </row>
    <row r="2" spans="1:5">
      <c r="A2" s="45" t="s">
        <v>9</v>
      </c>
      <c r="B2" s="46"/>
      <c r="C2" s="46"/>
      <c r="D2" s="46"/>
      <c r="E2" s="46"/>
    </row>
    <row r="3" spans="1:5">
      <c r="A3" s="8" t="s">
        <v>86</v>
      </c>
      <c r="B3" s="8" t="s">
        <v>86</v>
      </c>
      <c r="C3" s="8" t="s">
        <v>86</v>
      </c>
      <c r="D3" s="8" t="s">
        <v>86</v>
      </c>
      <c r="E3" s="8" t="s">
        <v>86</v>
      </c>
    </row>
    <row r="4" spans="1:5">
      <c r="A4" t="s">
        <v>87</v>
      </c>
      <c r="B4" t="s">
        <v>87</v>
      </c>
      <c r="C4" t="s">
        <v>88</v>
      </c>
      <c r="D4" t="s">
        <v>88</v>
      </c>
      <c r="E4" t="s">
        <v>89</v>
      </c>
    </row>
    <row r="5" spans="1:5">
      <c r="A5" s="31" t="s">
        <v>90</v>
      </c>
      <c r="B5" s="31" t="s">
        <v>90</v>
      </c>
      <c r="C5" t="s">
        <v>91</v>
      </c>
      <c r="D5" t="s">
        <v>92</v>
      </c>
      <c r="E5" t="s">
        <v>93</v>
      </c>
    </row>
    <row r="6" spans="1:5">
      <c r="A6" s="31" t="s">
        <v>94</v>
      </c>
      <c r="B6" s="31" t="s">
        <v>94</v>
      </c>
      <c r="D6" s="31" t="s">
        <v>95</v>
      </c>
      <c r="E6" t="s">
        <v>96</v>
      </c>
    </row>
    <row r="7" spans="1:5">
      <c r="A7" s="31" t="s">
        <v>97</v>
      </c>
      <c r="B7" s="31" t="s">
        <v>97</v>
      </c>
      <c r="E7" t="s">
        <v>98</v>
      </c>
    </row>
    <row r="8" spans="1:5">
      <c r="A8" s="31" t="s">
        <v>74</v>
      </c>
      <c r="B8" s="31" t="s">
        <v>74</v>
      </c>
      <c r="E8" t="s">
        <v>99</v>
      </c>
    </row>
    <row r="9" spans="1:5">
      <c r="A9" s="31" t="s">
        <v>64</v>
      </c>
      <c r="B9" s="31" t="s">
        <v>64</v>
      </c>
      <c r="E9" t="s">
        <v>100</v>
      </c>
    </row>
    <row r="10" spans="1:5">
      <c r="A10" s="31" t="s">
        <v>101</v>
      </c>
      <c r="B10" s="31" t="s">
        <v>101</v>
      </c>
    </row>
    <row r="12" spans="1:5">
      <c r="A12" s="8" t="s">
        <v>102</v>
      </c>
      <c r="B12" s="8" t="s">
        <v>102</v>
      </c>
      <c r="C12" s="8" t="s">
        <v>102</v>
      </c>
      <c r="D12" s="8"/>
      <c r="E12" s="8"/>
    </row>
    <row r="13" spans="1:5">
      <c r="A13" t="s">
        <v>103</v>
      </c>
      <c r="B13" t="s">
        <v>103</v>
      </c>
      <c r="C13" t="s">
        <v>104</v>
      </c>
      <c r="D13" t="s">
        <v>105</v>
      </c>
      <c r="E13" t="s">
        <v>106</v>
      </c>
    </row>
    <row r="14" spans="1:5">
      <c r="A14" t="s">
        <v>107</v>
      </c>
      <c r="B14" t="s">
        <v>107</v>
      </c>
      <c r="C14" t="s">
        <v>108</v>
      </c>
      <c r="D14" t="s">
        <v>109</v>
      </c>
      <c r="E14" t="s">
        <v>110</v>
      </c>
    </row>
    <row r="15" spans="1:5">
      <c r="A15" t="s">
        <v>111</v>
      </c>
      <c r="B15" t="s">
        <v>111</v>
      </c>
      <c r="C15" t="s">
        <v>112</v>
      </c>
      <c r="D15" s="31" t="s">
        <v>113</v>
      </c>
      <c r="E15" t="s">
        <v>114</v>
      </c>
    </row>
    <row r="16" spans="1:5">
      <c r="A16" t="s">
        <v>115</v>
      </c>
      <c r="B16" t="s">
        <v>115</v>
      </c>
      <c r="C16" t="s">
        <v>116</v>
      </c>
      <c r="D16" t="s">
        <v>117</v>
      </c>
      <c r="E16" t="s">
        <v>118</v>
      </c>
    </row>
    <row r="17" spans="1:5">
      <c r="A17" t="s">
        <v>119</v>
      </c>
      <c r="B17" t="s">
        <v>119</v>
      </c>
      <c r="C17" t="s">
        <v>120</v>
      </c>
      <c r="D17" t="s">
        <v>121</v>
      </c>
      <c r="E17" t="s">
        <v>122</v>
      </c>
    </row>
    <row r="18" spans="1:5">
      <c r="A18" t="s">
        <v>123</v>
      </c>
      <c r="B18" t="s">
        <v>123</v>
      </c>
      <c r="C18" t="s">
        <v>124</v>
      </c>
      <c r="D18" t="s">
        <v>111</v>
      </c>
      <c r="E18" t="s">
        <v>125</v>
      </c>
    </row>
    <row r="19" spans="1:5">
      <c r="A19" t="s">
        <v>126</v>
      </c>
      <c r="B19" t="s">
        <v>126</v>
      </c>
      <c r="C19" t="s">
        <v>127</v>
      </c>
      <c r="D19" t="s">
        <v>128</v>
      </c>
      <c r="E19" t="s">
        <v>79</v>
      </c>
    </row>
    <row r="20" spans="1:5">
      <c r="A20" t="s">
        <v>129</v>
      </c>
      <c r="B20" t="s">
        <v>129</v>
      </c>
      <c r="C20" t="s">
        <v>130</v>
      </c>
      <c r="D20" t="s">
        <v>126</v>
      </c>
      <c r="E20" t="s">
        <v>83</v>
      </c>
    </row>
    <row r="21" spans="1:5">
      <c r="A21" t="s">
        <v>131</v>
      </c>
      <c r="B21" t="s">
        <v>131</v>
      </c>
      <c r="C21" t="s">
        <v>132</v>
      </c>
      <c r="D21" t="s">
        <v>133</v>
      </c>
      <c r="E21" t="s">
        <v>81</v>
      </c>
    </row>
    <row r="22" spans="1:5">
      <c r="A22" t="s">
        <v>104</v>
      </c>
      <c r="B22" t="s">
        <v>104</v>
      </c>
      <c r="C22" t="s">
        <v>134</v>
      </c>
      <c r="D22" t="s">
        <v>135</v>
      </c>
      <c r="E22" t="s">
        <v>136</v>
      </c>
    </row>
    <row r="23" spans="1:5">
      <c r="A23" t="s">
        <v>108</v>
      </c>
      <c r="B23" t="s">
        <v>108</v>
      </c>
      <c r="C23" t="s">
        <v>137</v>
      </c>
      <c r="D23" t="s">
        <v>107</v>
      </c>
      <c r="E23" t="s">
        <v>138</v>
      </c>
    </row>
    <row r="24" spans="1:5">
      <c r="A24" t="s">
        <v>112</v>
      </c>
      <c r="B24" t="s">
        <v>112</v>
      </c>
      <c r="C24" t="s">
        <v>139</v>
      </c>
      <c r="D24" t="s">
        <v>113</v>
      </c>
      <c r="E24" t="s">
        <v>78</v>
      </c>
    </row>
    <row r="25" spans="1:5">
      <c r="A25" t="s">
        <v>116</v>
      </c>
      <c r="B25" t="s">
        <v>116</v>
      </c>
      <c r="C25" t="s">
        <v>140</v>
      </c>
      <c r="D25" t="s">
        <v>103</v>
      </c>
      <c r="E25" t="s">
        <v>141</v>
      </c>
    </row>
    <row r="26" spans="1:5">
      <c r="A26" t="s">
        <v>120</v>
      </c>
      <c r="B26" t="s">
        <v>120</v>
      </c>
      <c r="C26" t="s">
        <v>76</v>
      </c>
      <c r="D26" t="s">
        <v>142</v>
      </c>
      <c r="E26" t="s">
        <v>143</v>
      </c>
    </row>
    <row r="27" spans="1:5">
      <c r="A27" t="s">
        <v>124</v>
      </c>
      <c r="B27" t="s">
        <v>124</v>
      </c>
      <c r="C27" t="s">
        <v>144</v>
      </c>
      <c r="D27" t="s">
        <v>145</v>
      </c>
      <c r="E27" t="s">
        <v>146</v>
      </c>
    </row>
    <row r="28" spans="1:5">
      <c r="A28" t="s">
        <v>147</v>
      </c>
      <c r="B28" t="s">
        <v>147</v>
      </c>
      <c r="C28" t="s">
        <v>148</v>
      </c>
      <c r="D28" t="s">
        <v>149</v>
      </c>
      <c r="E28" s="8" t="s">
        <v>150</v>
      </c>
    </row>
    <row r="29" spans="1:5">
      <c r="C29" t="s">
        <v>151</v>
      </c>
      <c r="D29" t="s">
        <v>152</v>
      </c>
      <c r="E29" s="8" t="s">
        <v>153</v>
      </c>
    </row>
    <row r="30" spans="1:5">
      <c r="A30" s="8" t="s">
        <v>153</v>
      </c>
      <c r="B30" s="8" t="s">
        <v>153</v>
      </c>
      <c r="C30" t="s">
        <v>154</v>
      </c>
      <c r="D30" t="s">
        <v>155</v>
      </c>
      <c r="E30" t="s">
        <v>156</v>
      </c>
    </row>
    <row r="31" spans="1:5">
      <c r="A31" t="s">
        <v>157</v>
      </c>
      <c r="B31" s="32" t="s">
        <v>157</v>
      </c>
      <c r="C31" t="s">
        <v>137</v>
      </c>
      <c r="D31" t="s">
        <v>158</v>
      </c>
      <c r="E31" t="s">
        <v>159</v>
      </c>
    </row>
    <row r="32" spans="1:5">
      <c r="A32" t="s">
        <v>160</v>
      </c>
      <c r="B32" s="31" t="s">
        <v>160</v>
      </c>
      <c r="C32" t="s">
        <v>161</v>
      </c>
      <c r="D32" t="s">
        <v>162</v>
      </c>
      <c r="E32" t="s">
        <v>163</v>
      </c>
    </row>
    <row r="33" spans="1:5">
      <c r="A33" t="s">
        <v>164</v>
      </c>
      <c r="B33" s="31" t="s">
        <v>164</v>
      </c>
      <c r="C33" t="s">
        <v>165</v>
      </c>
      <c r="D33" t="s">
        <v>166</v>
      </c>
      <c r="E33" t="s">
        <v>167</v>
      </c>
    </row>
    <row r="34" spans="1:5">
      <c r="A34" t="s">
        <v>168</v>
      </c>
      <c r="B34" s="31" t="s">
        <v>168</v>
      </c>
      <c r="C34" t="s">
        <v>169</v>
      </c>
      <c r="D34" t="s">
        <v>170</v>
      </c>
      <c r="E34" t="s">
        <v>171</v>
      </c>
    </row>
    <row r="35" spans="1:5">
      <c r="A35" t="s">
        <v>172</v>
      </c>
      <c r="B35" s="31" t="s">
        <v>172</v>
      </c>
      <c r="C35" t="s">
        <v>173</v>
      </c>
      <c r="D35" t="s">
        <v>174</v>
      </c>
      <c r="E35" t="s">
        <v>175</v>
      </c>
    </row>
    <row r="36" spans="1:5">
      <c r="A36" t="s">
        <v>176</v>
      </c>
      <c r="B36" s="31" t="s">
        <v>176</v>
      </c>
      <c r="C36" t="s">
        <v>177</v>
      </c>
      <c r="D36" t="s">
        <v>178</v>
      </c>
      <c r="E36" t="s">
        <v>179</v>
      </c>
    </row>
    <row r="37" spans="1:5">
      <c r="A37" t="s">
        <v>180</v>
      </c>
      <c r="B37" s="31" t="s">
        <v>181</v>
      </c>
      <c r="C37" t="s">
        <v>182</v>
      </c>
      <c r="D37" t="s">
        <v>116</v>
      </c>
      <c r="E37" t="s">
        <v>183</v>
      </c>
    </row>
    <row r="38" spans="1:5">
      <c r="C38" t="s">
        <v>184</v>
      </c>
      <c r="D38" t="s">
        <v>185</v>
      </c>
      <c r="E38" t="s">
        <v>186</v>
      </c>
    </row>
    <row r="39" spans="1:5">
      <c r="C39" t="s">
        <v>187</v>
      </c>
      <c r="D39" t="s">
        <v>188</v>
      </c>
      <c r="E39" t="s">
        <v>189</v>
      </c>
    </row>
    <row r="40" spans="1:5">
      <c r="C40" t="s">
        <v>190</v>
      </c>
      <c r="D40" t="s">
        <v>115</v>
      </c>
      <c r="E40" t="s">
        <v>191</v>
      </c>
    </row>
    <row r="41" spans="1:5">
      <c r="D41" t="s">
        <v>80</v>
      </c>
      <c r="E41" t="s">
        <v>192</v>
      </c>
    </row>
    <row r="42" spans="1:5">
      <c r="C42" s="8" t="s">
        <v>153</v>
      </c>
      <c r="D42" t="s">
        <v>124</v>
      </c>
      <c r="E42" t="s">
        <v>193</v>
      </c>
    </row>
    <row r="43" spans="1:5">
      <c r="C43" t="s">
        <v>194</v>
      </c>
      <c r="D43" t="s">
        <v>195</v>
      </c>
      <c r="E43" t="s">
        <v>196</v>
      </c>
    </row>
    <row r="44" spans="1:5">
      <c r="C44" t="s">
        <v>197</v>
      </c>
      <c r="D44" t="s">
        <v>198</v>
      </c>
      <c r="E44" t="s">
        <v>199</v>
      </c>
    </row>
    <row r="45" spans="1:5">
      <c r="C45" t="s">
        <v>200</v>
      </c>
      <c r="D45" t="s">
        <v>82</v>
      </c>
      <c r="E45" t="s">
        <v>201</v>
      </c>
    </row>
    <row r="46" spans="1:5">
      <c r="C46" t="s">
        <v>202</v>
      </c>
      <c r="D46" t="s">
        <v>123</v>
      </c>
      <c r="E46" s="8" t="s">
        <v>203</v>
      </c>
    </row>
    <row r="47" spans="1:5">
      <c r="C47" t="s">
        <v>204</v>
      </c>
      <c r="D47" t="s">
        <v>205</v>
      </c>
      <c r="E47" s="8" t="s">
        <v>206</v>
      </c>
    </row>
    <row r="48" spans="1:5">
      <c r="D48" t="s">
        <v>207</v>
      </c>
      <c r="E48" s="8" t="s">
        <v>208</v>
      </c>
    </row>
    <row r="49" spans="4:5">
      <c r="E49" s="8" t="s">
        <v>209</v>
      </c>
    </row>
    <row r="50" spans="4:5">
      <c r="D50" s="8" t="s">
        <v>153</v>
      </c>
      <c r="E50" s="8" t="s">
        <v>210</v>
      </c>
    </row>
    <row r="51" spans="4:5">
      <c r="D51" t="s">
        <v>211</v>
      </c>
      <c r="E51" t="s">
        <v>212</v>
      </c>
    </row>
    <row r="52" spans="4:5">
      <c r="D52" t="s">
        <v>135</v>
      </c>
    </row>
    <row r="53" spans="4:5">
      <c r="D53" t="s">
        <v>213</v>
      </c>
    </row>
    <row r="54" spans="4:5">
      <c r="D54" t="s">
        <v>214</v>
      </c>
    </row>
    <row r="55" spans="4:5">
      <c r="D55" t="s">
        <v>215</v>
      </c>
    </row>
    <row r="56" spans="4:5">
      <c r="D56" t="s">
        <v>216</v>
      </c>
    </row>
    <row r="57" spans="4:5">
      <c r="D57" t="s">
        <v>217</v>
      </c>
    </row>
    <row r="58" spans="4:5">
      <c r="D58" t="s">
        <v>218</v>
      </c>
    </row>
    <row r="59" spans="4:5">
      <c r="D59" t="s">
        <v>219</v>
      </c>
    </row>
    <row r="60" spans="4:5">
      <c r="D60" t="s">
        <v>220</v>
      </c>
    </row>
    <row r="61" spans="4:5">
      <c r="D61" t="s">
        <v>221</v>
      </c>
    </row>
    <row r="62" spans="4:5">
      <c r="D62" t="s">
        <v>222</v>
      </c>
    </row>
    <row r="63" spans="4:5">
      <c r="D63" t="s">
        <v>223</v>
      </c>
    </row>
    <row r="64" spans="4:5">
      <c r="D64" t="s">
        <v>224</v>
      </c>
    </row>
    <row r="65" spans="1:5">
      <c r="D65" t="s">
        <v>225</v>
      </c>
    </row>
    <row r="66" spans="1:5">
      <c r="D66" t="s">
        <v>226</v>
      </c>
    </row>
    <row r="67" spans="1:5">
      <c r="D67" t="s">
        <v>227</v>
      </c>
    </row>
    <row r="68" spans="1:5">
      <c r="D68" t="s">
        <v>228</v>
      </c>
    </row>
    <row r="69" spans="1:5">
      <c r="D69" t="s">
        <v>229</v>
      </c>
    </row>
    <row r="70" spans="1:5">
      <c r="D70" t="s">
        <v>230</v>
      </c>
    </row>
    <row r="71" spans="1:5">
      <c r="D71" t="s">
        <v>231</v>
      </c>
    </row>
    <row r="73" spans="1:5">
      <c r="A73" s="45" t="s">
        <v>6</v>
      </c>
      <c r="B73" s="46"/>
      <c r="C73" s="46"/>
      <c r="D73" s="46"/>
      <c r="E73" s="46"/>
    </row>
    <row r="74" spans="1:5">
      <c r="A74" t="s">
        <v>232</v>
      </c>
      <c r="B74" t="s">
        <v>233</v>
      </c>
      <c r="C74" t="s">
        <v>234</v>
      </c>
      <c r="D74" t="s">
        <v>235</v>
      </c>
    </row>
    <row r="75" spans="1:5">
      <c r="A75" t="s">
        <v>236</v>
      </c>
      <c r="B75" t="s">
        <v>237</v>
      </c>
      <c r="C75" t="s">
        <v>238</v>
      </c>
      <c r="D75" t="s">
        <v>239</v>
      </c>
    </row>
    <row r="76" spans="1:5">
      <c r="A76" t="s">
        <v>240</v>
      </c>
      <c r="B76" t="s">
        <v>241</v>
      </c>
      <c r="C76" t="s">
        <v>242</v>
      </c>
      <c r="D76" t="s">
        <v>243</v>
      </c>
    </row>
    <row r="77" spans="1:5">
      <c r="A77" t="s">
        <v>244</v>
      </c>
      <c r="B77" t="s">
        <v>245</v>
      </c>
      <c r="C77" t="s">
        <v>246</v>
      </c>
      <c r="D77" t="s">
        <v>247</v>
      </c>
    </row>
    <row r="78" spans="1:5">
      <c r="A78" t="s">
        <v>248</v>
      </c>
      <c r="B78" t="s">
        <v>249</v>
      </c>
      <c r="C78" t="s">
        <v>250</v>
      </c>
      <c r="D78" t="s">
        <v>251</v>
      </c>
    </row>
    <row r="79" spans="1:5">
      <c r="A79" t="s">
        <v>252</v>
      </c>
      <c r="B79" t="s">
        <v>253</v>
      </c>
      <c r="C79" t="s">
        <v>254</v>
      </c>
      <c r="D79" t="s">
        <v>255</v>
      </c>
    </row>
    <row r="80" spans="1:5">
      <c r="A80" t="s">
        <v>256</v>
      </c>
      <c r="B80" t="s">
        <v>257</v>
      </c>
      <c r="C80" t="s">
        <v>258</v>
      </c>
      <c r="D80" t="s">
        <v>259</v>
      </c>
    </row>
    <row r="81" spans="1:4">
      <c r="A81" t="s">
        <v>260</v>
      </c>
      <c r="B81" t="s">
        <v>261</v>
      </c>
      <c r="C81" t="s">
        <v>262</v>
      </c>
      <c r="D81" t="s">
        <v>263</v>
      </c>
    </row>
    <row r="82" spans="1:4">
      <c r="A82" t="s">
        <v>264</v>
      </c>
      <c r="B82" t="s">
        <v>265</v>
      </c>
      <c r="C82" t="s">
        <v>266</v>
      </c>
      <c r="D82" t="s">
        <v>267</v>
      </c>
    </row>
    <row r="83" spans="1:4">
      <c r="A83" t="s">
        <v>268</v>
      </c>
      <c r="B83" t="s">
        <v>269</v>
      </c>
      <c r="C83" t="s">
        <v>270</v>
      </c>
      <c r="D83" t="s">
        <v>271</v>
      </c>
    </row>
    <row r="84" spans="1:4">
      <c r="A84" s="31" t="s">
        <v>272</v>
      </c>
      <c r="B84" t="s">
        <v>273</v>
      </c>
      <c r="C84" t="s">
        <v>274</v>
      </c>
      <c r="D84" t="s">
        <v>275</v>
      </c>
    </row>
    <row r="85" spans="1:4">
      <c r="A85" t="s">
        <v>276</v>
      </c>
      <c r="B85" t="s">
        <v>277</v>
      </c>
      <c r="C85" t="s">
        <v>278</v>
      </c>
      <c r="D85" t="s">
        <v>279</v>
      </c>
    </row>
    <row r="86" spans="1:4">
      <c r="A86" s="31" t="s">
        <v>280</v>
      </c>
      <c r="B86" t="s">
        <v>281</v>
      </c>
      <c r="C86" t="s">
        <v>282</v>
      </c>
      <c r="D86" t="s">
        <v>283</v>
      </c>
    </row>
    <row r="87" spans="1:4">
      <c r="A87" s="31" t="s">
        <v>284</v>
      </c>
      <c r="B87" t="s">
        <v>285</v>
      </c>
      <c r="C87" t="s">
        <v>286</v>
      </c>
      <c r="D87" t="s">
        <v>287</v>
      </c>
    </row>
    <row r="88" spans="1:4">
      <c r="A88" t="s">
        <v>288</v>
      </c>
      <c r="B88" t="s">
        <v>289</v>
      </c>
      <c r="C88" t="s">
        <v>290</v>
      </c>
      <c r="D88" t="s">
        <v>291</v>
      </c>
    </row>
    <row r="89" spans="1:4">
      <c r="A89" s="31" t="s">
        <v>292</v>
      </c>
      <c r="B89" t="s">
        <v>293</v>
      </c>
      <c r="C89" t="s">
        <v>294</v>
      </c>
      <c r="D89" t="s">
        <v>295</v>
      </c>
    </row>
    <row r="90" spans="1:4">
      <c r="A90" t="s">
        <v>296</v>
      </c>
      <c r="B90" t="s">
        <v>297</v>
      </c>
      <c r="C90" t="s">
        <v>298</v>
      </c>
      <c r="D90" t="s">
        <v>299</v>
      </c>
    </row>
    <row r="91" spans="1:4">
      <c r="A91" t="s">
        <v>300</v>
      </c>
      <c r="B91" t="s">
        <v>301</v>
      </c>
      <c r="C91" t="s">
        <v>302</v>
      </c>
      <c r="D91" t="s">
        <v>303</v>
      </c>
    </row>
    <row r="92" spans="1:4">
      <c r="A92" t="s">
        <v>304</v>
      </c>
      <c r="B92" t="s">
        <v>305</v>
      </c>
      <c r="C92" t="s">
        <v>306</v>
      </c>
      <c r="D92" t="s">
        <v>307</v>
      </c>
    </row>
    <row r="93" spans="1:4">
      <c r="A93" t="s">
        <v>308</v>
      </c>
      <c r="B93" t="s">
        <v>309</v>
      </c>
      <c r="C93" t="s">
        <v>310</v>
      </c>
      <c r="D93" t="s">
        <v>311</v>
      </c>
    </row>
    <row r="94" spans="1:4">
      <c r="A94" t="s">
        <v>312</v>
      </c>
      <c r="B94" t="s">
        <v>313</v>
      </c>
      <c r="C94" t="s">
        <v>314</v>
      </c>
      <c r="D94" t="s">
        <v>315</v>
      </c>
    </row>
    <row r="95" spans="1:4">
      <c r="A95" t="s">
        <v>316</v>
      </c>
      <c r="B95" t="s">
        <v>317</v>
      </c>
      <c r="C95" t="s">
        <v>318</v>
      </c>
      <c r="D95" t="s">
        <v>319</v>
      </c>
    </row>
    <row r="96" spans="1:4">
      <c r="A96" t="s">
        <v>320</v>
      </c>
      <c r="B96" t="s">
        <v>321</v>
      </c>
      <c r="C96" t="s">
        <v>322</v>
      </c>
      <c r="D96" t="s">
        <v>323</v>
      </c>
    </row>
    <row r="97" spans="1:4">
      <c r="A97" t="s">
        <v>324</v>
      </c>
      <c r="B97" t="s">
        <v>325</v>
      </c>
      <c r="C97" t="s">
        <v>326</v>
      </c>
      <c r="D97" t="s">
        <v>327</v>
      </c>
    </row>
    <row r="98" spans="1:4">
      <c r="A98" t="s">
        <v>328</v>
      </c>
      <c r="B98" t="s">
        <v>316</v>
      </c>
      <c r="D98" s="33" t="s">
        <v>329</v>
      </c>
    </row>
    <row r="99" spans="1:4">
      <c r="A99" t="s">
        <v>330</v>
      </c>
      <c r="B99" t="s">
        <v>331</v>
      </c>
      <c r="D99" t="s">
        <v>332</v>
      </c>
    </row>
    <row r="100" spans="1:4">
      <c r="A100" t="s">
        <v>333</v>
      </c>
      <c r="B100" t="s">
        <v>324</v>
      </c>
    </row>
    <row r="101" spans="1:4">
      <c r="B101" t="s">
        <v>334</v>
      </c>
    </row>
    <row r="103" spans="1:4">
      <c r="A103" s="7" t="s">
        <v>1</v>
      </c>
    </row>
    <row r="104" spans="1:4">
      <c r="A104" s="8" t="s">
        <v>335</v>
      </c>
    </row>
    <row r="105" spans="1:4">
      <c r="A105" s="8" t="s">
        <v>336</v>
      </c>
    </row>
    <row r="106" spans="1:4">
      <c r="A106" t="s">
        <v>337</v>
      </c>
    </row>
    <row r="107" spans="1:4">
      <c r="A107" t="s">
        <v>159</v>
      </c>
    </row>
    <row r="108" spans="1:4">
      <c r="A108" t="s">
        <v>338</v>
      </c>
    </row>
    <row r="109" spans="1:4">
      <c r="A109" t="s">
        <v>339</v>
      </c>
    </row>
    <row r="110" spans="1:4">
      <c r="A110" t="s">
        <v>340</v>
      </c>
    </row>
    <row r="111" spans="1:4">
      <c r="A111" t="s">
        <v>209</v>
      </c>
    </row>
    <row r="112" spans="1:4">
      <c r="A112" t="s">
        <v>341</v>
      </c>
    </row>
    <row r="113" spans="1:1">
      <c r="A113" t="s">
        <v>342</v>
      </c>
    </row>
    <row r="114" spans="1:1">
      <c r="A114" t="s">
        <v>343</v>
      </c>
    </row>
    <row r="115" spans="1:1">
      <c r="A115" t="s">
        <v>344</v>
      </c>
    </row>
    <row r="116" spans="1:1">
      <c r="A116" t="s">
        <v>345</v>
      </c>
    </row>
    <row r="117" spans="1:1">
      <c r="A117" t="s">
        <v>346</v>
      </c>
    </row>
    <row r="118" spans="1:1">
      <c r="A118" t="s">
        <v>347</v>
      </c>
    </row>
    <row r="119" spans="1:1">
      <c r="A119" t="s">
        <v>348</v>
      </c>
    </row>
    <row r="120" spans="1:1">
      <c r="A120" t="s">
        <v>118</v>
      </c>
    </row>
    <row r="121" spans="1:1">
      <c r="A121" t="s">
        <v>349</v>
      </c>
    </row>
    <row r="122" spans="1:1">
      <c r="A122" t="s">
        <v>82</v>
      </c>
    </row>
    <row r="123" spans="1:1">
      <c r="A123" t="s">
        <v>79</v>
      </c>
    </row>
    <row r="124" spans="1:1">
      <c r="A124" t="s">
        <v>350</v>
      </c>
    </row>
    <row r="125" spans="1:1">
      <c r="A125" t="s">
        <v>125</v>
      </c>
    </row>
    <row r="126" spans="1:1">
      <c r="A126" t="s">
        <v>81</v>
      </c>
    </row>
    <row r="127" spans="1:1">
      <c r="A127" t="s">
        <v>351</v>
      </c>
    </row>
    <row r="128" spans="1:1">
      <c r="A128" t="s">
        <v>352</v>
      </c>
    </row>
    <row r="129" spans="1:1">
      <c r="A129" t="s">
        <v>353</v>
      </c>
    </row>
    <row r="130" spans="1:1">
      <c r="A130" t="s">
        <v>77</v>
      </c>
    </row>
    <row r="131" spans="1:1">
      <c r="A131" t="s">
        <v>76</v>
      </c>
    </row>
    <row r="132" spans="1:1">
      <c r="A132" t="s">
        <v>354</v>
      </c>
    </row>
    <row r="133" spans="1:1">
      <c r="A133" t="s">
        <v>355</v>
      </c>
    </row>
    <row r="134" spans="1:1">
      <c r="A134" t="s">
        <v>356</v>
      </c>
    </row>
    <row r="135" spans="1:1">
      <c r="A135" t="s">
        <v>357</v>
      </c>
    </row>
    <row r="136" spans="1:1">
      <c r="A136" t="s">
        <v>358</v>
      </c>
    </row>
    <row r="137" spans="1:1">
      <c r="A137" t="s">
        <v>359</v>
      </c>
    </row>
  </sheetData>
  <mergeCells count="2">
    <mergeCell ref="A2:E2"/>
    <mergeCell ref="A73:E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/>
  </sheetViews>
  <sheetFormatPr defaultRowHeight="14.1" customHeight="1"/>
  <cols>
    <col min="1" max="1" width="30"/>
    <col min="2" max="2" width="32.5703125"/>
    <col min="3" max="3" width="26"/>
    <col min="4" max="4" width="32.140625"/>
    <col min="5" max="5" width="33.5703125"/>
    <col min="6" max="6" width="32.42578125"/>
    <col min="7" max="7" width="27.140625"/>
    <col min="8" max="2048" width="19"/>
  </cols>
  <sheetData>
    <row r="1" spans="1:7" s="34" customFormat="1">
      <c r="A1" s="34" t="s">
        <v>360</v>
      </c>
      <c r="B1" s="34" t="s">
        <v>361</v>
      </c>
      <c r="C1" s="34" t="s">
        <v>362</v>
      </c>
      <c r="D1" s="34" t="s">
        <v>363</v>
      </c>
      <c r="E1" s="34" t="s">
        <v>364</v>
      </c>
      <c r="F1" s="34" t="s">
        <v>365</v>
      </c>
      <c r="G1" s="34" t="s">
        <v>3</v>
      </c>
    </row>
    <row r="2" spans="1:7">
      <c r="B2" t="s">
        <v>366</v>
      </c>
      <c r="C2" t="s">
        <v>367</v>
      </c>
      <c r="D2" t="s">
        <v>368</v>
      </c>
      <c r="E2" t="s">
        <v>369</v>
      </c>
      <c r="F2" t="s">
        <v>370</v>
      </c>
      <c r="G2" s="35" t="s">
        <v>371</v>
      </c>
    </row>
    <row r="3" spans="1:7">
      <c r="B3" t="s">
        <v>372</v>
      </c>
      <c r="C3" t="s">
        <v>373</v>
      </c>
      <c r="D3" t="s">
        <v>374</v>
      </c>
      <c r="E3" t="s">
        <v>375</v>
      </c>
      <c r="F3" t="s">
        <v>376</v>
      </c>
      <c r="G3" s="35" t="s">
        <v>377</v>
      </c>
    </row>
    <row r="4" spans="1:7">
      <c r="B4" t="s">
        <v>378</v>
      </c>
      <c r="C4" t="s">
        <v>374</v>
      </c>
      <c r="D4" t="s">
        <v>379</v>
      </c>
      <c r="E4" t="s">
        <v>380</v>
      </c>
      <c r="F4" t="s">
        <v>381</v>
      </c>
      <c r="G4" s="35" t="s">
        <v>382</v>
      </c>
    </row>
    <row r="5" spans="1:7">
      <c r="B5" t="s">
        <v>383</v>
      </c>
      <c r="C5" t="s">
        <v>384</v>
      </c>
      <c r="D5" t="s">
        <v>385</v>
      </c>
      <c r="E5" t="s">
        <v>386</v>
      </c>
      <c r="F5" t="s">
        <v>387</v>
      </c>
      <c r="G5" s="35" t="s">
        <v>388</v>
      </c>
    </row>
    <row r="6" spans="1:7">
      <c r="B6" t="s">
        <v>389</v>
      </c>
      <c r="C6" t="s">
        <v>390</v>
      </c>
      <c r="D6" t="s">
        <v>391</v>
      </c>
      <c r="E6" t="s">
        <v>392</v>
      </c>
      <c r="F6" t="s">
        <v>393</v>
      </c>
      <c r="G6" s="35" t="s">
        <v>394</v>
      </c>
    </row>
    <row r="7" spans="1:7">
      <c r="A7" t="s">
        <v>395</v>
      </c>
      <c r="B7" t="s">
        <v>396</v>
      </c>
      <c r="C7" t="s">
        <v>397</v>
      </c>
      <c r="D7" t="s">
        <v>398</v>
      </c>
      <c r="E7" t="s">
        <v>399</v>
      </c>
      <c r="F7" t="s">
        <v>400</v>
      </c>
      <c r="G7" s="35" t="s">
        <v>401</v>
      </c>
    </row>
    <row r="8" spans="1:7">
      <c r="A8" t="s">
        <v>402</v>
      </c>
      <c r="B8" t="s">
        <v>403</v>
      </c>
      <c r="C8" t="s">
        <v>404</v>
      </c>
      <c r="D8" t="s">
        <v>405</v>
      </c>
      <c r="E8" t="s">
        <v>406</v>
      </c>
      <c r="F8" t="s">
        <v>407</v>
      </c>
      <c r="G8" s="35" t="s">
        <v>408</v>
      </c>
    </row>
    <row r="9" spans="1:7">
      <c r="A9" t="s">
        <v>409</v>
      </c>
      <c r="B9" t="s">
        <v>410</v>
      </c>
      <c r="C9" t="s">
        <v>411</v>
      </c>
      <c r="D9" t="s">
        <v>412</v>
      </c>
      <c r="E9" t="s">
        <v>239</v>
      </c>
      <c r="F9" t="s">
        <v>413</v>
      </c>
      <c r="G9" s="35" t="s">
        <v>414</v>
      </c>
    </row>
    <row r="10" spans="1:7">
      <c r="A10" t="s">
        <v>415</v>
      </c>
      <c r="B10" t="s">
        <v>416</v>
      </c>
      <c r="C10" t="s">
        <v>417</v>
      </c>
      <c r="D10" t="s">
        <v>418</v>
      </c>
      <c r="E10" t="s">
        <v>419</v>
      </c>
      <c r="F10" t="s">
        <v>420</v>
      </c>
      <c r="G10" s="35" t="s">
        <v>421</v>
      </c>
    </row>
    <row r="11" spans="1:7">
      <c r="A11" t="s">
        <v>422</v>
      </c>
      <c r="B11" t="s">
        <v>423</v>
      </c>
      <c r="C11" t="s">
        <v>424</v>
      </c>
      <c r="D11" t="s">
        <v>425</v>
      </c>
      <c r="E11" t="s">
        <v>426</v>
      </c>
      <c r="F11" t="s">
        <v>427</v>
      </c>
      <c r="G11" s="35" t="s">
        <v>428</v>
      </c>
    </row>
    <row r="12" spans="1:7">
      <c r="A12" t="s">
        <v>429</v>
      </c>
      <c r="B12" t="s">
        <v>430</v>
      </c>
      <c r="C12" t="s">
        <v>431</v>
      </c>
      <c r="D12" t="s">
        <v>432</v>
      </c>
      <c r="E12" t="s">
        <v>433</v>
      </c>
      <c r="F12" t="s">
        <v>434</v>
      </c>
      <c r="G12" s="35" t="s">
        <v>435</v>
      </c>
    </row>
    <row r="13" spans="1:7">
      <c r="A13" t="s">
        <v>436</v>
      </c>
      <c r="B13" t="s">
        <v>436</v>
      </c>
      <c r="C13" t="s">
        <v>437</v>
      </c>
      <c r="D13" t="s">
        <v>438</v>
      </c>
      <c r="E13" t="s">
        <v>439</v>
      </c>
      <c r="F13" t="s">
        <v>440</v>
      </c>
      <c r="G13" s="35" t="s">
        <v>441</v>
      </c>
    </row>
    <row r="14" spans="1:7">
      <c r="A14" t="s">
        <v>442</v>
      </c>
      <c r="B14" t="s">
        <v>443</v>
      </c>
      <c r="C14" t="s">
        <v>444</v>
      </c>
      <c r="D14" t="s">
        <v>445</v>
      </c>
      <c r="E14" t="s">
        <v>446</v>
      </c>
      <c r="F14" t="s">
        <v>447</v>
      </c>
      <c r="G14" s="35" t="s">
        <v>448</v>
      </c>
    </row>
    <row r="15" spans="1:7">
      <c r="A15" t="s">
        <v>449</v>
      </c>
      <c r="B15" t="s">
        <v>450</v>
      </c>
      <c r="C15" t="s">
        <v>451</v>
      </c>
      <c r="D15" t="s">
        <v>452</v>
      </c>
      <c r="E15" t="s">
        <v>453</v>
      </c>
      <c r="F15" t="s">
        <v>454</v>
      </c>
      <c r="G15" s="35" t="s">
        <v>455</v>
      </c>
    </row>
    <row r="16" spans="1:7">
      <c r="A16" t="s">
        <v>326</v>
      </c>
      <c r="B16" t="s">
        <v>409</v>
      </c>
      <c r="C16" t="s">
        <v>456</v>
      </c>
      <c r="D16" t="s">
        <v>457</v>
      </c>
      <c r="E16" t="s">
        <v>458</v>
      </c>
      <c r="G16" s="35" t="s">
        <v>459</v>
      </c>
    </row>
    <row r="17" spans="1:7">
      <c r="A17" t="s">
        <v>460</v>
      </c>
      <c r="B17" t="s">
        <v>461</v>
      </c>
      <c r="C17" t="s">
        <v>462</v>
      </c>
      <c r="D17" t="s">
        <v>463</v>
      </c>
      <c r="E17" t="s">
        <v>464</v>
      </c>
      <c r="G17" s="35" t="s">
        <v>465</v>
      </c>
    </row>
    <row r="18" spans="1:7">
      <c r="A18" t="s">
        <v>466</v>
      </c>
      <c r="B18" t="s">
        <v>467</v>
      </c>
      <c r="E18" t="s">
        <v>468</v>
      </c>
      <c r="G18" s="35" t="s">
        <v>469</v>
      </c>
    </row>
    <row r="19" spans="1:7">
      <c r="A19" t="s">
        <v>470</v>
      </c>
      <c r="B19" t="s">
        <v>471</v>
      </c>
      <c r="E19" t="s">
        <v>472</v>
      </c>
      <c r="G19" s="35"/>
    </row>
    <row r="20" spans="1:7">
      <c r="A20" t="s">
        <v>473</v>
      </c>
      <c r="B20" t="s">
        <v>474</v>
      </c>
      <c r="E20" t="s">
        <v>475</v>
      </c>
      <c r="G20" s="36"/>
    </row>
    <row r="21" spans="1:7">
      <c r="A21" t="s">
        <v>476</v>
      </c>
      <c r="B21" t="s">
        <v>477</v>
      </c>
      <c r="G21" s="36"/>
    </row>
    <row r="22" spans="1:7">
      <c r="A22" t="s">
        <v>478</v>
      </c>
      <c r="B22" t="s">
        <v>479</v>
      </c>
      <c r="G22" s="36"/>
    </row>
    <row r="23" spans="1:7">
      <c r="A23" t="s">
        <v>480</v>
      </c>
      <c r="G23" s="36"/>
    </row>
    <row r="24" spans="1:7">
      <c r="A24" t="s">
        <v>481</v>
      </c>
    </row>
    <row r="25" spans="1:7">
      <c r="A25" t="s">
        <v>482</v>
      </c>
    </row>
    <row r="26" spans="1:7">
      <c r="A26" t="s">
        <v>483</v>
      </c>
    </row>
    <row r="27" spans="1:7">
      <c r="A27" t="s">
        <v>401</v>
      </c>
    </row>
    <row r="30" spans="1:7">
      <c r="A30" s="8" t="s">
        <v>484</v>
      </c>
    </row>
    <row r="31" spans="1:7">
      <c r="A31" t="s">
        <v>485</v>
      </c>
    </row>
    <row r="32" spans="1:7">
      <c r="A32" t="s">
        <v>486</v>
      </c>
    </row>
    <row r="33" spans="1:1">
      <c r="A33" t="s">
        <v>487</v>
      </c>
    </row>
    <row r="34" spans="1:1">
      <c r="A34" t="s">
        <v>488</v>
      </c>
    </row>
    <row r="35" spans="1:1">
      <c r="A35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1" customHeight="1"/>
  <cols>
    <col min="1" max="2" width="14.28515625"/>
  </cols>
  <sheetData>
    <row r="1" spans="1:1">
      <c r="A1" t="s">
        <v>490</v>
      </c>
    </row>
    <row r="2" spans="1:1">
      <c r="A2" t="s">
        <v>491</v>
      </c>
    </row>
    <row r="3" spans="1:1">
      <c r="A3" t="s">
        <v>492</v>
      </c>
    </row>
    <row r="4" spans="1:1">
      <c r="A4" t="s">
        <v>493</v>
      </c>
    </row>
    <row r="5" spans="1:1">
      <c r="A5" t="s">
        <v>494</v>
      </c>
    </row>
    <row r="6" spans="1:1">
      <c r="A6" t="s">
        <v>495</v>
      </c>
    </row>
    <row r="7" spans="1:1">
      <c r="A7" t="s">
        <v>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workbookViewId="0"/>
  </sheetViews>
  <sheetFormatPr defaultRowHeight="14.1" customHeight="1"/>
  <cols>
    <col min="1" max="1" width="33.7109375"/>
    <col min="2" max="3" width="14.28515625"/>
  </cols>
  <sheetData>
    <row r="1" spans="1:1">
      <c r="A1" s="7" t="s">
        <v>497</v>
      </c>
    </row>
    <row r="2" spans="1:1">
      <c r="A2" t="s">
        <v>498</v>
      </c>
    </row>
    <row r="3" spans="1:1">
      <c r="A3" t="s">
        <v>194</v>
      </c>
    </row>
    <row r="4" spans="1:1">
      <c r="A4" s="31" t="s">
        <v>499</v>
      </c>
    </row>
    <row r="5" spans="1:1">
      <c r="A5" t="s">
        <v>456</v>
      </c>
    </row>
    <row r="6" spans="1:1">
      <c r="A6" t="s">
        <v>500</v>
      </c>
    </row>
    <row r="7" spans="1:1">
      <c r="A7" t="s">
        <v>501</v>
      </c>
    </row>
    <row r="8" spans="1:1">
      <c r="A8" t="s">
        <v>502</v>
      </c>
    </row>
    <row r="9" spans="1:1">
      <c r="A9" t="s">
        <v>503</v>
      </c>
    </row>
    <row r="10" spans="1:1">
      <c r="A10" t="s">
        <v>504</v>
      </c>
    </row>
    <row r="11" spans="1:1">
      <c r="A11" t="s">
        <v>505</v>
      </c>
    </row>
    <row r="12" spans="1:1">
      <c r="A12" t="s">
        <v>506</v>
      </c>
    </row>
    <row r="13" spans="1:1">
      <c r="A13" t="s">
        <v>507</v>
      </c>
    </row>
    <row r="14" spans="1:1">
      <c r="A14" t="s">
        <v>508</v>
      </c>
    </row>
    <row r="15" spans="1:1">
      <c r="A15" t="s">
        <v>509</v>
      </c>
    </row>
    <row r="16" spans="1:1">
      <c r="A16" t="s">
        <v>510</v>
      </c>
    </row>
    <row r="17" spans="1:1">
      <c r="A17" t="s">
        <v>511</v>
      </c>
    </row>
    <row r="18" spans="1:1">
      <c r="A18" t="s">
        <v>512</v>
      </c>
    </row>
    <row r="19" spans="1:1">
      <c r="A19" t="s">
        <v>513</v>
      </c>
    </row>
    <row r="20" spans="1:1">
      <c r="A20" t="s">
        <v>514</v>
      </c>
    </row>
    <row r="21" spans="1:1">
      <c r="A21" t="s">
        <v>515</v>
      </c>
    </row>
    <row r="22" spans="1:1">
      <c r="A22" t="s">
        <v>516</v>
      </c>
    </row>
    <row r="23" spans="1:1">
      <c r="A23" t="s">
        <v>517</v>
      </c>
    </row>
    <row r="24" spans="1:1">
      <c r="A24" t="s">
        <v>518</v>
      </c>
    </row>
    <row r="28" spans="1:1">
      <c r="A28" s="8" t="s">
        <v>519</v>
      </c>
    </row>
    <row r="29" spans="1:1">
      <c r="A29" t="s">
        <v>500</v>
      </c>
    </row>
    <row r="30" spans="1:1">
      <c r="A30" t="s">
        <v>520</v>
      </c>
    </row>
    <row r="31" spans="1:1">
      <c r="A31" t="s">
        <v>510</v>
      </c>
    </row>
    <row r="32" spans="1:1">
      <c r="A32" t="s">
        <v>503</v>
      </c>
    </row>
    <row r="33" spans="1:1">
      <c r="A33" t="s">
        <v>521</v>
      </c>
    </row>
    <row r="34" spans="1:1">
      <c r="A34" t="s">
        <v>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4.1" customHeight="1"/>
  <cols>
    <col min="1" max="5" width="13.28515625"/>
  </cols>
  <sheetData>
    <row r="1" spans="1:4">
      <c r="A1" s="37" t="s">
        <v>0</v>
      </c>
      <c r="B1" s="37" t="s">
        <v>11</v>
      </c>
      <c r="C1" s="37" t="s">
        <v>523</v>
      </c>
      <c r="D1" s="37" t="s">
        <v>524</v>
      </c>
    </row>
    <row r="2" spans="1:4">
      <c r="A2" t="s">
        <v>60</v>
      </c>
      <c r="B2">
        <v>20000</v>
      </c>
      <c r="C2">
        <v>20000</v>
      </c>
      <c r="D2">
        <v>20000</v>
      </c>
    </row>
    <row r="3" spans="1:4">
      <c r="A3" t="s">
        <v>13</v>
      </c>
      <c r="B3">
        <v>20000</v>
      </c>
      <c r="C3">
        <v>30000</v>
      </c>
      <c r="D3">
        <v>30000</v>
      </c>
    </row>
    <row r="4" spans="1:4">
      <c r="A4" t="s">
        <v>7</v>
      </c>
      <c r="B4">
        <v>20000</v>
      </c>
      <c r="C4">
        <v>30000</v>
      </c>
      <c r="D4">
        <v>30000</v>
      </c>
    </row>
    <row r="6" spans="1:4">
      <c r="A6" s="8" t="s">
        <v>19</v>
      </c>
      <c r="B6" s="8">
        <f>SUM(B2:B5)</f>
        <v>60000</v>
      </c>
      <c r="C6" s="8">
        <f>SUM(C2:C5)</f>
        <v>80000</v>
      </c>
      <c r="D6" s="8">
        <f>SUM(D2:D5)</f>
        <v>80000</v>
      </c>
    </row>
    <row r="11" spans="1:4">
      <c r="B11" t="s">
        <v>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/>
  </sheetViews>
  <sheetFormatPr defaultRowHeight="14.1" customHeight="1"/>
  <cols>
    <col min="1" max="1" width="48.5703125"/>
    <col min="2" max="2" width="36.85546875"/>
    <col min="3" max="3" width="30.5703125"/>
    <col min="4" max="2048" width="14.28515625"/>
  </cols>
  <sheetData>
    <row r="1" spans="1:3">
      <c r="A1" t="s">
        <v>526</v>
      </c>
      <c r="B1" t="s">
        <v>527</v>
      </c>
      <c r="C1" t="s">
        <v>528</v>
      </c>
    </row>
    <row r="2" spans="1:3">
      <c r="A2" t="s">
        <v>529</v>
      </c>
      <c r="B2" t="s">
        <v>530</v>
      </c>
    </row>
    <row r="3" spans="1:3">
      <c r="A3" t="s">
        <v>75</v>
      </c>
      <c r="B3" t="s">
        <v>531</v>
      </c>
    </row>
    <row r="4" spans="1:3">
      <c r="A4" t="s">
        <v>532</v>
      </c>
    </row>
    <row r="5" spans="1:3">
      <c r="A5" t="s">
        <v>533</v>
      </c>
      <c r="B5" t="s">
        <v>534</v>
      </c>
    </row>
    <row r="6" spans="1:3">
      <c r="A6" s="38" t="s">
        <v>535</v>
      </c>
    </row>
    <row r="7" spans="1:3">
      <c r="A7" s="38" t="s">
        <v>536</v>
      </c>
    </row>
    <row r="9" spans="1:3">
      <c r="A9" t="s">
        <v>537</v>
      </c>
    </row>
    <row r="10" spans="1:3">
      <c r="A10" t="s">
        <v>538</v>
      </c>
      <c r="B10" t="s">
        <v>539</v>
      </c>
    </row>
    <row r="11" spans="1:3">
      <c r="A11" t="s">
        <v>540</v>
      </c>
      <c r="B11" t="s">
        <v>541</v>
      </c>
    </row>
    <row r="12" spans="1:3">
      <c r="A12" t="s">
        <v>542</v>
      </c>
      <c r="B12" t="s">
        <v>335</v>
      </c>
    </row>
    <row r="14" spans="1:3">
      <c r="A14" t="s">
        <v>543</v>
      </c>
    </row>
    <row r="15" spans="1:3">
      <c r="A15" t="s">
        <v>544</v>
      </c>
    </row>
    <row r="16" spans="1:3">
      <c r="A16" t="s">
        <v>545</v>
      </c>
    </row>
    <row r="18" spans="1:3">
      <c r="A18" t="s">
        <v>546</v>
      </c>
    </row>
    <row r="20" spans="1:3">
      <c r="A20" t="s">
        <v>547</v>
      </c>
    </row>
    <row r="22" spans="1:3">
      <c r="A22" t="s">
        <v>548</v>
      </c>
      <c r="B22" t="s">
        <v>549</v>
      </c>
    </row>
    <row r="23" spans="1:3">
      <c r="A23" t="s">
        <v>20</v>
      </c>
      <c r="B23" t="s">
        <v>550</v>
      </c>
      <c r="C23" t="s">
        <v>551</v>
      </c>
    </row>
    <row r="25" spans="1:3">
      <c r="A25" t="s">
        <v>14</v>
      </c>
      <c r="B25" t="s">
        <v>552</v>
      </c>
    </row>
    <row r="28" spans="1:3">
      <c r="A28" s="39">
        <v>46134</v>
      </c>
    </row>
    <row r="29" spans="1:3">
      <c r="A29" t="s">
        <v>335</v>
      </c>
      <c r="B29" t="s">
        <v>553</v>
      </c>
    </row>
    <row r="31" spans="1:3">
      <c r="A31" s="39">
        <v>46141</v>
      </c>
    </row>
    <row r="32" spans="1:3">
      <c r="A32" t="s">
        <v>72</v>
      </c>
      <c r="B32" s="40">
        <v>0.3</v>
      </c>
      <c r="C32" t="s">
        <v>554</v>
      </c>
    </row>
    <row r="33" spans="1:2">
      <c r="A33" t="s">
        <v>555</v>
      </c>
      <c r="B33" s="40">
        <v>0.25</v>
      </c>
    </row>
    <row r="34" spans="1:2">
      <c r="A34" t="s">
        <v>16</v>
      </c>
      <c r="B34" s="40">
        <v>0.25</v>
      </c>
    </row>
    <row r="35" spans="1:2">
      <c r="A35" t="s">
        <v>73</v>
      </c>
      <c r="B35" s="40">
        <v>0.2</v>
      </c>
    </row>
    <row r="37" spans="1:2">
      <c r="A37" t="s">
        <v>556</v>
      </c>
      <c r="B37" t="s">
        <v>557</v>
      </c>
    </row>
    <row r="38" spans="1:2">
      <c r="B38" t="s">
        <v>558</v>
      </c>
    </row>
    <row r="40" spans="1:2">
      <c r="A40" t="s">
        <v>559</v>
      </c>
    </row>
    <row r="42" spans="1:2">
      <c r="A42" t="s">
        <v>541</v>
      </c>
      <c r="B42" t="s">
        <v>560</v>
      </c>
    </row>
    <row r="45" spans="1:2">
      <c r="A45" s="41">
        <v>46192</v>
      </c>
    </row>
    <row r="46" spans="1:2">
      <c r="A46" t="s">
        <v>541</v>
      </c>
      <c r="B46" t="s">
        <v>561</v>
      </c>
    </row>
    <row r="48" spans="1:2">
      <c r="A48" s="41">
        <v>46213</v>
      </c>
    </row>
    <row r="49" spans="1:3">
      <c r="A49" t="s">
        <v>562</v>
      </c>
    </row>
    <row r="52" spans="1:3">
      <c r="A52" t="s">
        <v>20</v>
      </c>
      <c r="B52" t="s">
        <v>563</v>
      </c>
    </row>
    <row r="53" spans="1:3">
      <c r="A53" t="s">
        <v>14</v>
      </c>
      <c r="B53" t="s">
        <v>564</v>
      </c>
      <c r="C53" t="s">
        <v>565</v>
      </c>
    </row>
    <row r="54" spans="1:3">
      <c r="B54" t="s">
        <v>566</v>
      </c>
      <c r="C54" t="s">
        <v>567</v>
      </c>
    </row>
    <row r="55" spans="1:3">
      <c r="A55" t="s">
        <v>73</v>
      </c>
      <c r="B55" t="s">
        <v>568</v>
      </c>
    </row>
    <row r="58" spans="1:3">
      <c r="A58" s="42">
        <v>46242</v>
      </c>
      <c r="B58" s="43"/>
    </row>
    <row r="59" spans="1:3">
      <c r="A59" t="s">
        <v>569</v>
      </c>
      <c r="B59" s="44">
        <v>0.6</v>
      </c>
      <c r="C59" s="43" t="s">
        <v>570</v>
      </c>
    </row>
    <row r="60" spans="1:3">
      <c r="B60" s="44">
        <v>0.15</v>
      </c>
      <c r="C60" s="43" t="s">
        <v>571</v>
      </c>
    </row>
    <row r="61" spans="1:3">
      <c r="A61" s="43" t="s">
        <v>572</v>
      </c>
      <c r="B61" s="43" t="s">
        <v>573</v>
      </c>
    </row>
    <row r="62" spans="1:3">
      <c r="A62" s="43" t="s">
        <v>574</v>
      </c>
      <c r="B62" s="43" t="s">
        <v>575</v>
      </c>
    </row>
    <row r="63" spans="1:3">
      <c r="A63" s="43" t="s">
        <v>576</v>
      </c>
      <c r="B63" s="43"/>
    </row>
    <row r="64" spans="1:3">
      <c r="A64" s="43" t="s">
        <v>577</v>
      </c>
      <c r="B64" s="43"/>
    </row>
    <row r="65" spans="1:2">
      <c r="A65" s="43" t="s">
        <v>578</v>
      </c>
      <c r="B65" s="43"/>
    </row>
    <row r="66" spans="1:2">
      <c r="A66" t="s">
        <v>579</v>
      </c>
    </row>
    <row r="67" spans="1:2">
      <c r="A67" t="s">
        <v>580</v>
      </c>
    </row>
    <row r="68" spans="1:2">
      <c r="A68" t="s">
        <v>581</v>
      </c>
    </row>
    <row r="70" spans="1:2">
      <c r="A70" s="42">
        <v>46276</v>
      </c>
    </row>
    <row r="71" spans="1:2">
      <c r="A71" t="s">
        <v>535</v>
      </c>
    </row>
    <row r="72" spans="1:2">
      <c r="A72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KPIs</vt:lpstr>
      <vt:lpstr>Target - Product Ads</vt:lpstr>
      <vt:lpstr>Target - Industry Ads</vt:lpstr>
      <vt:lpstr>Target - Dealers ad</vt:lpstr>
      <vt:lpstr>Podcast views</vt:lpstr>
      <vt:lpstr>Follower Growth Plan</vt:lpstr>
      <vt:lpstr>Internal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BIS</cp:lastModifiedBy>
  <dcterms:created xsi:type="dcterms:W3CDTF">2026-10-22T08:07:57Z</dcterms:created>
  <dcterms:modified xsi:type="dcterms:W3CDTF">2026-10-22T08:08:45Z</dcterms:modified>
</cp:coreProperties>
</file>